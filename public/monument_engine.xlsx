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0108810d5765fd/Documents/Monument/models/"/>
    </mc:Choice>
  </mc:AlternateContent>
  <xr:revisionPtr revIDLastSave="2999" documentId="8_{027437F9-C038-4371-8775-D8B11C1BF241}" xr6:coauthVersionLast="47" xr6:coauthVersionMax="47" xr10:uidLastSave="{C410EF27-CD47-410B-9B57-FA860403BA2D}"/>
  <bookViews>
    <workbookView xWindow="-120" yWindow="-120" windowWidth="29040" windowHeight="15720" xr2:uid="{9F2618D9-3640-4D5B-ACC5-AE7F7B5EF67B}"/>
  </bookViews>
  <sheets>
    <sheet name="Inputs" sheetId="1" r:id="rId1"/>
    <sheet name="Lot Schedule" sheetId="2" r:id="rId2"/>
    <sheet name="Revenue" sheetId="3" r:id="rId3"/>
    <sheet name="Development Cost" sheetId="4" r:id="rId4"/>
    <sheet name="Foundation" sheetId="7" r:id="rId5"/>
    <sheet name="Debt" sheetId="8" r:id="rId6"/>
    <sheet name="Cash Flow" sheetId="9" r:id="rId7"/>
    <sheet name="Peak Funding" sheetId="11" r:id="rId8"/>
    <sheet name="Reconciliation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5" i="1" l="1"/>
  <c r="N10" i="9" s="1"/>
  <c r="B3" i="11"/>
  <c r="B3" i="10"/>
  <c r="C57" i="9"/>
  <c r="B57" i="9"/>
  <c r="F56" i="9"/>
  <c r="F55" i="9"/>
  <c r="F54" i="9"/>
  <c r="F53" i="9"/>
  <c r="F52" i="9"/>
  <c r="F51" i="9"/>
  <c r="F50" i="9"/>
  <c r="F49" i="9"/>
  <c r="F48" i="9"/>
  <c r="F47" i="9"/>
  <c r="F46" i="9"/>
  <c r="F45" i="9"/>
  <c r="M26" i="9"/>
  <c r="L26" i="9"/>
  <c r="K26" i="9"/>
  <c r="J26" i="9"/>
  <c r="I26" i="9"/>
  <c r="B3" i="9"/>
  <c r="G94" i="1"/>
  <c r="G93" i="1"/>
  <c r="N21" i="9" s="1"/>
  <c r="D38" i="8"/>
  <c r="D37" i="8"/>
  <c r="B23" i="8"/>
  <c r="C23" i="8" s="1"/>
  <c r="B14" i="8"/>
  <c r="C14" i="8" s="1"/>
  <c r="F8" i="8"/>
  <c r="C44" i="8" s="1"/>
  <c r="F7" i="8"/>
  <c r="D16" i="8" s="1"/>
  <c r="B3" i="8"/>
  <c r="I32" i="7"/>
  <c r="B3" i="7"/>
  <c r="G92" i="1"/>
  <c r="B20" i="7" s="1"/>
  <c r="B45" i="4"/>
  <c r="B3" i="4"/>
  <c r="G91" i="1"/>
  <c r="L29" i="3"/>
  <c r="K29" i="3"/>
  <c r="H29" i="3"/>
  <c r="G29" i="3"/>
  <c r="B28" i="3"/>
  <c r="B27" i="3"/>
  <c r="B26" i="3"/>
  <c r="B25" i="3"/>
  <c r="B24" i="3"/>
  <c r="B3" i="3"/>
  <c r="G90" i="1"/>
  <c r="G89" i="1"/>
  <c r="G88" i="1"/>
  <c r="H3" i="2"/>
  <c r="B3" i="2"/>
  <c r="F22" i="1"/>
  <c r="E22" i="1"/>
  <c r="D22" i="1"/>
  <c r="C22" i="1"/>
  <c r="B22" i="1"/>
  <c r="G79" i="1"/>
  <c r="G78" i="1"/>
  <c r="G77" i="1"/>
  <c r="G76" i="1"/>
  <c r="G75" i="1"/>
  <c r="G74" i="1"/>
  <c r="G73" i="1"/>
  <c r="G70" i="1"/>
  <c r="G69" i="1"/>
  <c r="G66" i="1"/>
  <c r="B9" i="8" s="1"/>
  <c r="C38" i="8" s="1"/>
  <c r="G65" i="1"/>
  <c r="G64" i="1"/>
  <c r="G61" i="1"/>
  <c r="G60" i="1"/>
  <c r="B8" i="9" s="1"/>
  <c r="G59" i="1"/>
  <c r="B7" i="11" s="1"/>
  <c r="G58" i="1"/>
  <c r="B8" i="11" s="1"/>
  <c r="G55" i="1"/>
  <c r="G54" i="1"/>
  <c r="E26" i="7" s="1"/>
  <c r="G53" i="1"/>
  <c r="D26" i="7" s="1"/>
  <c r="H13" i="9" s="1"/>
  <c r="G52" i="1"/>
  <c r="B15" i="7" s="1"/>
  <c r="G51" i="1"/>
  <c r="G48" i="1"/>
  <c r="G47" i="1"/>
  <c r="G44" i="1"/>
  <c r="B18" i="4" s="1"/>
  <c r="G43" i="1"/>
  <c r="B17" i="4" s="1"/>
  <c r="G42" i="1"/>
  <c r="B16" i="4" s="1"/>
  <c r="G41" i="1"/>
  <c r="G40" i="1"/>
  <c r="G39" i="1"/>
  <c r="G38" i="1"/>
  <c r="G37" i="1"/>
  <c r="G36" i="1"/>
  <c r="G33" i="1"/>
  <c r="B10" i="4" s="1"/>
  <c r="G32" i="1"/>
  <c r="B9" i="4" s="1"/>
  <c r="G31" i="1"/>
  <c r="G30" i="1"/>
  <c r="G27" i="1"/>
  <c r="C9" i="2" s="1"/>
  <c r="G26" i="1"/>
  <c r="C8" i="2" s="1"/>
  <c r="G25" i="1"/>
  <c r="C7" i="2" s="1"/>
  <c r="G21" i="1"/>
  <c r="B20" i="2" s="1"/>
  <c r="B23" i="3" s="1"/>
  <c r="G20" i="1"/>
  <c r="B19" i="2" s="1"/>
  <c r="B22" i="3" s="1"/>
  <c r="G19" i="1"/>
  <c r="B18" i="2" s="1"/>
  <c r="B21" i="3" s="1"/>
  <c r="G18" i="1"/>
  <c r="B17" i="2" s="1"/>
  <c r="B20" i="3" s="1"/>
  <c r="G17" i="1"/>
  <c r="B16" i="2" s="1"/>
  <c r="B19" i="3" s="1"/>
  <c r="G16" i="1"/>
  <c r="B15" i="2" s="1"/>
  <c r="B18" i="3" s="1"/>
  <c r="G15" i="1"/>
  <c r="B14" i="2" s="1"/>
  <c r="B17" i="3" s="1"/>
  <c r="G12" i="1"/>
  <c r="G11" i="1"/>
  <c r="B9" i="2" s="1"/>
  <c r="G10" i="1"/>
  <c r="B8" i="2" s="1"/>
  <c r="G9" i="1"/>
  <c r="B7" i="2" s="1"/>
  <c r="G8" i="1"/>
  <c r="G7" i="1"/>
  <c r="E3" i="2" s="1"/>
  <c r="N24" i="9" l="1"/>
  <c r="N23" i="9"/>
  <c r="B6" i="11"/>
  <c r="M17" i="3"/>
  <c r="M18" i="3"/>
  <c r="C15" i="9" s="1"/>
  <c r="F18" i="3"/>
  <c r="M19" i="3"/>
  <c r="M20" i="3"/>
  <c r="E15" i="9" s="1"/>
  <c r="M21" i="3"/>
  <c r="F15" i="9" s="1"/>
  <c r="M22" i="3"/>
  <c r="G15" i="9" s="1"/>
  <c r="M23" i="3"/>
  <c r="H15" i="9" s="1"/>
  <c r="M24" i="3"/>
  <c r="I15" i="9" s="1"/>
  <c r="M25" i="3"/>
  <c r="J15" i="9" s="1"/>
  <c r="M26" i="3"/>
  <c r="K15" i="9" s="1"/>
  <c r="M27" i="3"/>
  <c r="L15" i="9" s="1"/>
  <c r="M28" i="3"/>
  <c r="M15" i="9" s="1"/>
  <c r="I17" i="3"/>
  <c r="I18" i="3"/>
  <c r="J18" i="3" s="1"/>
  <c r="C14" i="9" s="1"/>
  <c r="I19" i="3"/>
  <c r="J19" i="3" s="1"/>
  <c r="D14" i="9" s="1"/>
  <c r="I20" i="3"/>
  <c r="J20" i="3" s="1"/>
  <c r="E14" i="9" s="1"/>
  <c r="I21" i="3"/>
  <c r="J21" i="3" s="1"/>
  <c r="F14" i="9" s="1"/>
  <c r="I22" i="3"/>
  <c r="J22" i="3" s="1"/>
  <c r="G14" i="9" s="1"/>
  <c r="I23" i="3"/>
  <c r="J23" i="3" s="1"/>
  <c r="H14" i="9" s="1"/>
  <c r="I24" i="3"/>
  <c r="J24" i="3" s="1"/>
  <c r="I14" i="9" s="1"/>
  <c r="I25" i="3"/>
  <c r="J25" i="3" s="1"/>
  <c r="J14" i="9" s="1"/>
  <c r="I26" i="3"/>
  <c r="J26" i="3" s="1"/>
  <c r="K14" i="9" s="1"/>
  <c r="I27" i="3"/>
  <c r="J27" i="3" s="1"/>
  <c r="L14" i="9" s="1"/>
  <c r="I28" i="3"/>
  <c r="J28" i="3" s="1"/>
  <c r="M14" i="9" s="1"/>
  <c r="C20" i="7"/>
  <c r="B11" i="9" s="1"/>
  <c r="C21" i="7"/>
  <c r="C22" i="7"/>
  <c r="D11" i="9" s="1"/>
  <c r="C23" i="7"/>
  <c r="E11" i="9" s="1"/>
  <c r="C24" i="7"/>
  <c r="F11" i="9" s="1"/>
  <c r="C25" i="7"/>
  <c r="G11" i="9" s="1"/>
  <c r="C26" i="7"/>
  <c r="H11" i="9" s="1"/>
  <c r="C27" i="7"/>
  <c r="I11" i="9" s="1"/>
  <c r="C28" i="7"/>
  <c r="J11" i="9" s="1"/>
  <c r="C29" i="7"/>
  <c r="K11" i="9" s="1"/>
  <c r="C30" i="7"/>
  <c r="L11" i="9" s="1"/>
  <c r="C31" i="7"/>
  <c r="M11" i="9" s="1"/>
  <c r="B8" i="4"/>
  <c r="B11" i="4" s="1"/>
  <c r="E21" i="7"/>
  <c r="E30" i="7"/>
  <c r="D31" i="7"/>
  <c r="M13" i="9" s="1"/>
  <c r="D22" i="7"/>
  <c r="D13" i="9" s="1"/>
  <c r="N8" i="9"/>
  <c r="E44" i="8"/>
  <c r="E45" i="8"/>
  <c r="F45" i="8"/>
  <c r="E22" i="7"/>
  <c r="C45" i="8"/>
  <c r="E24" i="7"/>
  <c r="E29" i="7"/>
  <c r="D24" i="8"/>
  <c r="D25" i="8"/>
  <c r="C37" i="8"/>
  <c r="D30" i="7"/>
  <c r="L13" i="9" s="1"/>
  <c r="F44" i="8"/>
  <c r="D21" i="7"/>
  <c r="C13" i="9" s="1"/>
  <c r="D17" i="8"/>
  <c r="B45" i="8"/>
  <c r="D18" i="8"/>
  <c r="D23" i="7"/>
  <c r="E13" i="9" s="1"/>
  <c r="C46" i="8"/>
  <c r="D26" i="8"/>
  <c r="E23" i="7"/>
  <c r="C42" i="8"/>
  <c r="D25" i="7"/>
  <c r="G13" i="9" s="1"/>
  <c r="D27" i="7"/>
  <c r="I13" i="9" s="1"/>
  <c r="C43" i="8"/>
  <c r="C47" i="8"/>
  <c r="F21" i="3"/>
  <c r="D24" i="7"/>
  <c r="F13" i="9" s="1"/>
  <c r="F28" i="3"/>
  <c r="E27" i="7"/>
  <c r="D15" i="8"/>
  <c r="F20" i="3"/>
  <c r="D14" i="8"/>
  <c r="E14" i="8" s="1"/>
  <c r="F14" i="8" s="1"/>
  <c r="B15" i="8" s="1"/>
  <c r="E46" i="8"/>
  <c r="B47" i="8"/>
  <c r="D23" i="8"/>
  <c r="E23" i="8" s="1"/>
  <c r="F23" i="8" s="1"/>
  <c r="B24" i="8" s="1"/>
  <c r="E43" i="8"/>
  <c r="E47" i="8"/>
  <c r="D19" i="8"/>
  <c r="F46" i="8"/>
  <c r="F26" i="3"/>
  <c r="D28" i="7"/>
  <c r="D28" i="8"/>
  <c r="F43" i="8"/>
  <c r="F47" i="8"/>
  <c r="E42" i="8"/>
  <c r="B43" i="8"/>
  <c r="E28" i="7"/>
  <c r="F25" i="3"/>
  <c r="B44" i="8"/>
  <c r="D44" i="8" s="1"/>
  <c r="D26" i="9" s="1"/>
  <c r="B42" i="8"/>
  <c r="B46" i="8"/>
  <c r="F42" i="8"/>
  <c r="D27" i="8"/>
  <c r="D29" i="7"/>
  <c r="K13" i="9" s="1"/>
  <c r="B14" i="4"/>
  <c r="E25" i="7"/>
  <c r="E31" i="7"/>
  <c r="D20" i="7"/>
  <c r="B13" i="9" s="1"/>
  <c r="E20" i="7"/>
  <c r="F24" i="3"/>
  <c r="F27" i="3"/>
  <c r="B13" i="4"/>
  <c r="F19" i="3"/>
  <c r="F22" i="3"/>
  <c r="F23" i="3"/>
  <c r="B15" i="4"/>
  <c r="F17" i="3"/>
  <c r="B29" i="3"/>
  <c r="D15" i="9"/>
  <c r="B15" i="9"/>
  <c r="B10" i="2"/>
  <c r="G10" i="2" s="1"/>
  <c r="D14" i="2"/>
  <c r="B26" i="2"/>
  <c r="E7" i="2"/>
  <c r="G22" i="1"/>
  <c r="G44" i="8" l="1"/>
  <c r="D45" i="8"/>
  <c r="E26" i="9" s="1"/>
  <c r="N15" i="9"/>
  <c r="B10" i="7"/>
  <c r="D10" i="7" s="1"/>
  <c r="G45" i="8"/>
  <c r="F20" i="7"/>
  <c r="G20" i="7" s="1"/>
  <c r="B12" i="9" s="1"/>
  <c r="B8" i="7"/>
  <c r="D8" i="7" s="1"/>
  <c r="C11" i="9"/>
  <c r="N11" i="9" s="1"/>
  <c r="B9" i="7"/>
  <c r="D9" i="7" s="1"/>
  <c r="J13" i="9"/>
  <c r="N13" i="9" s="1"/>
  <c r="E32" i="7"/>
  <c r="C24" i="8"/>
  <c r="E24" i="8" s="1"/>
  <c r="F24" i="8" s="1"/>
  <c r="B25" i="8" s="1"/>
  <c r="C15" i="8"/>
  <c r="E15" i="8" s="1"/>
  <c r="F15" i="8" s="1"/>
  <c r="B16" i="8" s="1"/>
  <c r="G42" i="8"/>
  <c r="G47" i="8"/>
  <c r="D32" i="7"/>
  <c r="G43" i="8"/>
  <c r="D42" i="8"/>
  <c r="B26" i="9" s="1"/>
  <c r="D47" i="8"/>
  <c r="G26" i="9" s="1"/>
  <c r="G46" i="8"/>
  <c r="D46" i="8"/>
  <c r="F26" i="9" s="1"/>
  <c r="D43" i="8"/>
  <c r="C26" i="9" s="1"/>
  <c r="C32" i="7"/>
  <c r="F29" i="3"/>
  <c r="B10" i="3" s="1"/>
  <c r="D10" i="3" s="1"/>
  <c r="B19" i="4"/>
  <c r="B21" i="4" s="1"/>
  <c r="B22" i="4" s="1"/>
  <c r="M29" i="3"/>
  <c r="B12" i="3" s="1"/>
  <c r="D12" i="3" s="1"/>
  <c r="I29" i="3"/>
  <c r="J17" i="3"/>
  <c r="E8" i="2"/>
  <c r="D8" i="2"/>
  <c r="E14" i="2"/>
  <c r="C15" i="2"/>
  <c r="D15" i="2" s="1"/>
  <c r="F14" i="2" l="1"/>
  <c r="J14" i="2" s="1"/>
  <c r="H20" i="7"/>
  <c r="B21" i="7" s="1"/>
  <c r="F21" i="7" s="1"/>
  <c r="G21" i="7" s="1"/>
  <c r="C12" i="9" s="1"/>
  <c r="J29" i="3"/>
  <c r="B11" i="3" s="1"/>
  <c r="D11" i="3" s="1"/>
  <c r="B14" i="9"/>
  <c r="N14" i="9" s="1"/>
  <c r="C16" i="8"/>
  <c r="E16" i="8" s="1"/>
  <c r="F16" i="8" s="1"/>
  <c r="B17" i="8" s="1"/>
  <c r="C25" i="8"/>
  <c r="E25" i="8" s="1"/>
  <c r="F25" i="8" s="1"/>
  <c r="B26" i="8" s="1"/>
  <c r="B23" i="4"/>
  <c r="B24" i="4" s="1"/>
  <c r="B26" i="4" s="1"/>
  <c r="B10" i="11" s="1"/>
  <c r="C16" i="2"/>
  <c r="D16" i="2" s="1"/>
  <c r="F15" i="2"/>
  <c r="J15" i="2" s="1"/>
  <c r="E15" i="2"/>
  <c r="I14" i="2"/>
  <c r="D9" i="2"/>
  <c r="E9" i="2"/>
  <c r="H21" i="7" l="1"/>
  <c r="B22" i="7" s="1"/>
  <c r="F22" i="7" s="1"/>
  <c r="G22" i="7" s="1"/>
  <c r="D12" i="9" s="1"/>
  <c r="C33" i="4"/>
  <c r="B20" i="9" s="1"/>
  <c r="B28" i="4"/>
  <c r="C44" i="4"/>
  <c r="M20" i="9" s="1"/>
  <c r="M29" i="9" s="1"/>
  <c r="C40" i="4"/>
  <c r="I20" i="9" s="1"/>
  <c r="I29" i="9" s="1"/>
  <c r="C39" i="4"/>
  <c r="H20" i="9" s="1"/>
  <c r="C37" i="4"/>
  <c r="F20" i="9" s="1"/>
  <c r="F29" i="9" s="1"/>
  <c r="C42" i="4"/>
  <c r="K20" i="9" s="1"/>
  <c r="K29" i="9" s="1"/>
  <c r="C43" i="4"/>
  <c r="L20" i="9" s="1"/>
  <c r="L29" i="9" s="1"/>
  <c r="C38" i="4"/>
  <c r="G20" i="9" s="1"/>
  <c r="G29" i="9" s="1"/>
  <c r="C36" i="4"/>
  <c r="E20" i="9" s="1"/>
  <c r="E29" i="9" s="1"/>
  <c r="C34" i="4"/>
  <c r="C20" i="9" s="1"/>
  <c r="C29" i="9" s="1"/>
  <c r="C41" i="4"/>
  <c r="J20" i="9" s="1"/>
  <c r="J29" i="9" s="1"/>
  <c r="C35" i="4"/>
  <c r="D20" i="9" s="1"/>
  <c r="D29" i="9" s="1"/>
  <c r="C26" i="8"/>
  <c r="E26" i="8" s="1"/>
  <c r="F26" i="8" s="1"/>
  <c r="B27" i="8" s="1"/>
  <c r="C17" i="8"/>
  <c r="E17" i="8" s="1"/>
  <c r="F17" i="8" s="1"/>
  <c r="B18" i="8" s="1"/>
  <c r="G15" i="2"/>
  <c r="K15" i="2" s="1"/>
  <c r="I15" i="2"/>
  <c r="E10" i="2"/>
  <c r="G14" i="2"/>
  <c r="F16" i="2"/>
  <c r="J16" i="2" s="1"/>
  <c r="E16" i="2"/>
  <c r="C17" i="2"/>
  <c r="D17" i="2" s="1"/>
  <c r="G16" i="2"/>
  <c r="K16" i="2" s="1"/>
  <c r="H22" i="7" l="1"/>
  <c r="B23" i="7" s="1"/>
  <c r="F23" i="7" s="1"/>
  <c r="G23" i="7" s="1"/>
  <c r="H23" i="7" s="1"/>
  <c r="B24" i="7" s="1"/>
  <c r="F24" i="7" s="1"/>
  <c r="G24" i="7" s="1"/>
  <c r="B29" i="9"/>
  <c r="N20" i="9"/>
  <c r="H15" i="2"/>
  <c r="L15" i="2"/>
  <c r="C18" i="3" s="1"/>
  <c r="D18" i="3" s="1"/>
  <c r="E18" i="3" s="1"/>
  <c r="C27" i="8"/>
  <c r="E27" i="8" s="1"/>
  <c r="F27" i="8" s="1"/>
  <c r="B28" i="8" s="1"/>
  <c r="C18" i="8"/>
  <c r="E18" i="8" s="1"/>
  <c r="F18" i="8" s="1"/>
  <c r="B19" i="8" s="1"/>
  <c r="C45" i="4"/>
  <c r="H16" i="2"/>
  <c r="I16" i="2"/>
  <c r="L16" i="2" s="1"/>
  <c r="C19" i="3" s="1"/>
  <c r="K14" i="2"/>
  <c r="H14" i="2"/>
  <c r="C18" i="2"/>
  <c r="D18" i="2" s="1"/>
  <c r="G17" i="2"/>
  <c r="K17" i="2" s="1"/>
  <c r="F17" i="2"/>
  <c r="J17" i="2" s="1"/>
  <c r="E17" i="2"/>
  <c r="E12" i="9" l="1"/>
  <c r="C9" i="9"/>
  <c r="C18" i="9" s="1"/>
  <c r="H24" i="7"/>
  <c r="B25" i="7" s="1"/>
  <c r="F25" i="7" s="1"/>
  <c r="G25" i="7" s="1"/>
  <c r="F12" i="9"/>
  <c r="C28" i="8"/>
  <c r="E28" i="8" s="1"/>
  <c r="F28" i="8" s="1"/>
  <c r="B32" i="8" s="1"/>
  <c r="C19" i="8"/>
  <c r="E19" i="8" s="1"/>
  <c r="F19" i="8" s="1"/>
  <c r="B31" i="8" s="1"/>
  <c r="D19" i="3"/>
  <c r="E19" i="3" s="1"/>
  <c r="I17" i="2"/>
  <c r="H17" i="2"/>
  <c r="F18" i="2"/>
  <c r="J18" i="2" s="1"/>
  <c r="E18" i="2"/>
  <c r="C19" i="2"/>
  <c r="D19" i="2" s="1"/>
  <c r="G18" i="2"/>
  <c r="K18" i="2" s="1"/>
  <c r="L14" i="2"/>
  <c r="C17" i="3" s="1"/>
  <c r="H25" i="7" l="1"/>
  <c r="B26" i="7" s="1"/>
  <c r="F26" i="7" s="1"/>
  <c r="G26" i="7" s="1"/>
  <c r="G12" i="9"/>
  <c r="D9" i="9"/>
  <c r="D18" i="9" s="1"/>
  <c r="C48" i="8"/>
  <c r="C54" i="8" s="1"/>
  <c r="B38" i="8"/>
  <c r="E38" i="8" s="1"/>
  <c r="B48" i="8"/>
  <c r="B33" i="8"/>
  <c r="B37" i="8"/>
  <c r="E37" i="8" s="1"/>
  <c r="D17" i="3"/>
  <c r="B9" i="9" s="1"/>
  <c r="M14" i="2"/>
  <c r="M15" i="2" s="1"/>
  <c r="M16" i="2" s="1"/>
  <c r="C20" i="2"/>
  <c r="D20" i="2" s="1"/>
  <c r="G19" i="2"/>
  <c r="F19" i="2"/>
  <c r="J19" i="2" s="1"/>
  <c r="E19" i="2"/>
  <c r="H18" i="2"/>
  <c r="I18" i="2"/>
  <c r="L18" i="2" s="1"/>
  <c r="C21" i="3" s="1"/>
  <c r="L17" i="2"/>
  <c r="C20" i="3" s="1"/>
  <c r="H26" i="7" l="1"/>
  <c r="B27" i="7" s="1"/>
  <c r="F27" i="7" s="1"/>
  <c r="G27" i="7" s="1"/>
  <c r="H12" i="9"/>
  <c r="B18" i="9"/>
  <c r="E53" i="8"/>
  <c r="E52" i="8"/>
  <c r="E51" i="8"/>
  <c r="E50" i="8"/>
  <c r="E49" i="8"/>
  <c r="D48" i="8"/>
  <c r="H26" i="9" s="1"/>
  <c r="B54" i="8"/>
  <c r="F53" i="8"/>
  <c r="F52" i="8"/>
  <c r="F51" i="8"/>
  <c r="F50" i="8"/>
  <c r="F49" i="8"/>
  <c r="D21" i="3"/>
  <c r="E21" i="3" s="1"/>
  <c r="D20" i="3"/>
  <c r="E9" i="9" s="1"/>
  <c r="E17" i="3"/>
  <c r="I19" i="2"/>
  <c r="H19" i="2"/>
  <c r="K19" i="2"/>
  <c r="F20" i="2"/>
  <c r="J20" i="2" s="1"/>
  <c r="E20" i="2"/>
  <c r="C21" i="2"/>
  <c r="D21" i="2" s="1"/>
  <c r="G20" i="2"/>
  <c r="K20" i="2" s="1"/>
  <c r="M17" i="2"/>
  <c r="M18" i="2" s="1"/>
  <c r="F54" i="8" l="1"/>
  <c r="N26" i="9"/>
  <c r="H29" i="9"/>
  <c r="E18" i="9"/>
  <c r="H27" i="7"/>
  <c r="B28" i="7" s="1"/>
  <c r="F28" i="7" s="1"/>
  <c r="G28" i="7" s="1"/>
  <c r="I12" i="9"/>
  <c r="F9" i="9"/>
  <c r="F18" i="9" s="1"/>
  <c r="B57" i="8"/>
  <c r="D54" i="8"/>
  <c r="G50" i="8"/>
  <c r="G52" i="8"/>
  <c r="G49" i="8"/>
  <c r="E54" i="8"/>
  <c r="G51" i="8"/>
  <c r="G53" i="8"/>
  <c r="E20" i="3"/>
  <c r="H20" i="2"/>
  <c r="I20" i="2"/>
  <c r="L20" i="2" s="1"/>
  <c r="C23" i="3" s="1"/>
  <c r="C22" i="2"/>
  <c r="D22" i="2" s="1"/>
  <c r="G21" i="2"/>
  <c r="K21" i="2" s="1"/>
  <c r="E21" i="2"/>
  <c r="F21" i="2"/>
  <c r="J21" i="2" s="1"/>
  <c r="L19" i="2"/>
  <c r="C22" i="3" s="1"/>
  <c r="B59" i="8" l="1"/>
  <c r="B15" i="10"/>
  <c r="D15" i="10" s="1"/>
  <c r="H28" i="7"/>
  <c r="B29" i="7" s="1"/>
  <c r="F29" i="7" s="1"/>
  <c r="G29" i="7" s="1"/>
  <c r="J12" i="9"/>
  <c r="G54" i="8"/>
  <c r="D22" i="3"/>
  <c r="G9" i="9" s="1"/>
  <c r="D23" i="3"/>
  <c r="E23" i="3" s="1"/>
  <c r="I21" i="2"/>
  <c r="H21" i="2"/>
  <c r="G22" i="2"/>
  <c r="E22" i="2"/>
  <c r="F22" i="2"/>
  <c r="J22" i="2" s="1"/>
  <c r="C23" i="2"/>
  <c r="D23" i="2" s="1"/>
  <c r="M19" i="2"/>
  <c r="M20" i="2" s="1"/>
  <c r="G18" i="9" l="1"/>
  <c r="H29" i="7"/>
  <c r="B30" i="7" s="1"/>
  <c r="F30" i="7" s="1"/>
  <c r="G30" i="7" s="1"/>
  <c r="K12" i="9"/>
  <c r="H9" i="9"/>
  <c r="H18" i="9" s="1"/>
  <c r="E22" i="3"/>
  <c r="E23" i="2"/>
  <c r="C24" i="2"/>
  <c r="D24" i="2" s="1"/>
  <c r="F23" i="2"/>
  <c r="J23" i="2" s="1"/>
  <c r="G23" i="2"/>
  <c r="K23" i="2" s="1"/>
  <c r="H22" i="2"/>
  <c r="I22" i="2"/>
  <c r="K22" i="2"/>
  <c r="L21" i="2"/>
  <c r="H30" i="7" l="1"/>
  <c r="B31" i="7" s="1"/>
  <c r="F31" i="7" s="1"/>
  <c r="G31" i="7" s="1"/>
  <c r="L12" i="9"/>
  <c r="M21" i="2"/>
  <c r="C24" i="3"/>
  <c r="L22" i="2"/>
  <c r="G24" i="2"/>
  <c r="K24" i="2" s="1"/>
  <c r="F24" i="2"/>
  <c r="J24" i="2" s="1"/>
  <c r="E24" i="2"/>
  <c r="C25" i="2"/>
  <c r="D25" i="2" s="1"/>
  <c r="I23" i="2"/>
  <c r="L23" i="2" s="1"/>
  <c r="C26" i="3" s="1"/>
  <c r="H23" i="2"/>
  <c r="H31" i="7" l="1"/>
  <c r="B14" i="10" s="1"/>
  <c r="D14" i="10" s="1"/>
  <c r="M12" i="9"/>
  <c r="N12" i="9" s="1"/>
  <c r="B11" i="7"/>
  <c r="D11" i="7" s="1"/>
  <c r="G32" i="7"/>
  <c r="D26" i="3"/>
  <c r="E26" i="3" s="1"/>
  <c r="M22" i="2"/>
  <c r="M23" i="2" s="1"/>
  <c r="C25" i="3"/>
  <c r="D24" i="3"/>
  <c r="E24" i="3" s="1"/>
  <c r="F25" i="2"/>
  <c r="G25" i="2"/>
  <c r="E25" i="2"/>
  <c r="I24" i="2"/>
  <c r="L24" i="2" s="1"/>
  <c r="H24" i="2"/>
  <c r="I9" i="9" l="1"/>
  <c r="I18" i="9" s="1"/>
  <c r="K9" i="9"/>
  <c r="K18" i="9" s="1"/>
  <c r="N28" i="9"/>
  <c r="B7" i="7"/>
  <c r="D7" i="7" s="1"/>
  <c r="H32" i="7"/>
  <c r="M24" i="2"/>
  <c r="C27" i="3"/>
  <c r="D25" i="3"/>
  <c r="E25" i="3" s="1"/>
  <c r="I25" i="2"/>
  <c r="H25" i="2"/>
  <c r="H26" i="2" s="1"/>
  <c r="E26" i="2"/>
  <c r="K25" i="2"/>
  <c r="K26" i="2" s="1"/>
  <c r="G26" i="2"/>
  <c r="J25" i="2"/>
  <c r="J26" i="2" s="1"/>
  <c r="F26" i="2"/>
  <c r="J9" i="9" l="1"/>
  <c r="J18" i="9" s="1"/>
  <c r="D27" i="3"/>
  <c r="E27" i="3" s="1"/>
  <c r="L25" i="2"/>
  <c r="C28" i="3" s="1"/>
  <c r="I26" i="2"/>
  <c r="L9" i="9" l="1"/>
  <c r="L18" i="9" s="1"/>
  <c r="D28" i="3"/>
  <c r="D29" i="3" s="1"/>
  <c r="B8" i="3" s="1"/>
  <c r="D8" i="3" s="1"/>
  <c r="C29" i="3"/>
  <c r="L26" i="2"/>
  <c r="M25" i="2"/>
  <c r="M26" i="2" s="1"/>
  <c r="B10" i="10" l="1"/>
  <c r="D10" i="10" s="1"/>
  <c r="B9" i="11"/>
  <c r="B7" i="3"/>
  <c r="D7" i="3" s="1"/>
  <c r="N22" i="9"/>
  <c r="N29" i="9" s="1"/>
  <c r="M9" i="9"/>
  <c r="E28" i="3"/>
  <c r="E29" i="3" s="1"/>
  <c r="B9" i="3" s="1"/>
  <c r="D9" i="3" s="1"/>
  <c r="F100" i="11" l="1"/>
  <c r="F88" i="11"/>
  <c r="F76" i="11"/>
  <c r="F64" i="11"/>
  <c r="F52" i="11"/>
  <c r="F40" i="11"/>
  <c r="F28" i="11"/>
  <c r="F99" i="11"/>
  <c r="F87" i="11"/>
  <c r="F75" i="11"/>
  <c r="F63" i="11"/>
  <c r="F51" i="11"/>
  <c r="F39" i="11"/>
  <c r="F27" i="11"/>
  <c r="F98" i="11"/>
  <c r="F86" i="11"/>
  <c r="F74" i="11"/>
  <c r="F62" i="11"/>
  <c r="F50" i="11"/>
  <c r="F38" i="11"/>
  <c r="F26" i="11"/>
  <c r="F97" i="11"/>
  <c r="F85" i="11"/>
  <c r="F73" i="11"/>
  <c r="F61" i="11"/>
  <c r="F49" i="11"/>
  <c r="F37" i="11"/>
  <c r="F25" i="11"/>
  <c r="F96" i="11"/>
  <c r="F84" i="11"/>
  <c r="F72" i="11"/>
  <c r="F60" i="11"/>
  <c r="F48" i="11"/>
  <c r="F36" i="11"/>
  <c r="F24" i="11"/>
  <c r="F95" i="11"/>
  <c r="F83" i="11"/>
  <c r="F71" i="11"/>
  <c r="F59" i="11"/>
  <c r="F47" i="11"/>
  <c r="F35" i="11"/>
  <c r="F23" i="11"/>
  <c r="F94" i="11"/>
  <c r="F82" i="11"/>
  <c r="F70" i="11"/>
  <c r="F58" i="11"/>
  <c r="F46" i="11"/>
  <c r="F34" i="11"/>
  <c r="F22" i="11"/>
  <c r="F93" i="11"/>
  <c r="F81" i="11"/>
  <c r="F69" i="11"/>
  <c r="F57" i="11"/>
  <c r="F45" i="11"/>
  <c r="F33" i="11"/>
  <c r="F21" i="11"/>
  <c r="F92" i="11"/>
  <c r="F80" i="11"/>
  <c r="F68" i="11"/>
  <c r="F56" i="11"/>
  <c r="F44" i="11"/>
  <c r="F32" i="11"/>
  <c r="F20" i="11"/>
  <c r="F91" i="11"/>
  <c r="F79" i="11"/>
  <c r="F67" i="11"/>
  <c r="F55" i="11"/>
  <c r="F43" i="11"/>
  <c r="F31" i="11"/>
  <c r="F19" i="11"/>
  <c r="F90" i="11"/>
  <c r="F78" i="11"/>
  <c r="F66" i="11"/>
  <c r="F54" i="11"/>
  <c r="F42" i="11"/>
  <c r="F30" i="11"/>
  <c r="F18" i="11"/>
  <c r="F89" i="11"/>
  <c r="F77" i="11"/>
  <c r="F65" i="11"/>
  <c r="F53" i="11"/>
  <c r="F41" i="11"/>
  <c r="F29" i="11"/>
  <c r="F17" i="11"/>
  <c r="G17" i="11" s="1"/>
  <c r="M18" i="9"/>
  <c r="N9" i="9"/>
  <c r="N18" i="9" s="1"/>
  <c r="N32" i="9" s="1"/>
  <c r="B13" i="10" s="1"/>
  <c r="D13" i="10" s="1"/>
  <c r="G18" i="11" l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G38" i="11" s="1"/>
  <c r="G39" i="11" s="1"/>
  <c r="G40" i="11" s="1"/>
  <c r="G41" i="11" s="1"/>
  <c r="G42" i="11" s="1"/>
  <c r="G43" i="11" s="1"/>
  <c r="G44" i="11" s="1"/>
  <c r="G45" i="11" s="1"/>
  <c r="G46" i="11" s="1"/>
  <c r="G47" i="11" s="1"/>
  <c r="G48" i="11" s="1"/>
  <c r="G49" i="11" s="1"/>
  <c r="G50" i="11" s="1"/>
  <c r="G51" i="11" s="1"/>
  <c r="G52" i="11" s="1"/>
  <c r="G53" i="11" s="1"/>
  <c r="G54" i="11" s="1"/>
  <c r="G55" i="11" s="1"/>
  <c r="G56" i="11" s="1"/>
  <c r="G57" i="11" s="1"/>
  <c r="G58" i="11" s="1"/>
  <c r="G59" i="11" s="1"/>
  <c r="G60" i="11" s="1"/>
  <c r="G61" i="11" s="1"/>
  <c r="G62" i="11" s="1"/>
  <c r="G63" i="11" s="1"/>
  <c r="G64" i="11" s="1"/>
  <c r="G65" i="11" s="1"/>
  <c r="G66" i="11" s="1"/>
  <c r="G67" i="11" s="1"/>
  <c r="G68" i="11" s="1"/>
  <c r="G69" i="11" s="1"/>
  <c r="G70" i="11" s="1"/>
  <c r="G71" i="11" s="1"/>
  <c r="G72" i="11" s="1"/>
  <c r="G73" i="11" s="1"/>
  <c r="G74" i="11" s="1"/>
  <c r="G75" i="11" s="1"/>
  <c r="G76" i="11" s="1"/>
  <c r="G77" i="11" s="1"/>
  <c r="G78" i="11" s="1"/>
  <c r="G79" i="11" s="1"/>
  <c r="G80" i="11" s="1"/>
  <c r="G81" i="11" s="1"/>
  <c r="G82" i="11" s="1"/>
  <c r="G83" i="11" s="1"/>
  <c r="G84" i="11" s="1"/>
  <c r="G85" i="11" s="1"/>
  <c r="G86" i="11" s="1"/>
  <c r="G87" i="11" s="1"/>
  <c r="G88" i="11" s="1"/>
  <c r="G89" i="11" s="1"/>
  <c r="G90" i="11" s="1"/>
  <c r="G91" i="11" s="1"/>
  <c r="G92" i="11" s="1"/>
  <c r="G93" i="11" s="1"/>
  <c r="G94" i="11" s="1"/>
  <c r="G95" i="11" s="1"/>
  <c r="G96" i="11" s="1"/>
  <c r="G97" i="11" s="1"/>
  <c r="G98" i="11" s="1"/>
  <c r="G99" i="11" s="1"/>
  <c r="G100" i="11" s="1"/>
  <c r="N34" i="9"/>
  <c r="B61" i="9"/>
  <c r="D61" i="9" s="1"/>
  <c r="B40" i="9"/>
  <c r="B42" i="9" s="1"/>
  <c r="B13" i="11" l="1"/>
  <c r="D52" i="9"/>
  <c r="E52" i="9" s="1"/>
  <c r="D56" i="9"/>
  <c r="E56" i="9" s="1"/>
  <c r="D55" i="9"/>
  <c r="E55" i="9" s="1"/>
  <c r="D51" i="9"/>
  <c r="E51" i="9" s="1"/>
  <c r="D50" i="9"/>
  <c r="E50" i="9" s="1"/>
  <c r="D47" i="9"/>
  <c r="E47" i="9" s="1"/>
  <c r="D49" i="9"/>
  <c r="E49" i="9" s="1"/>
  <c r="D48" i="9"/>
  <c r="E48" i="9" s="1"/>
  <c r="D46" i="9"/>
  <c r="E46" i="9" s="1"/>
  <c r="D53" i="9"/>
  <c r="E53" i="9" s="1"/>
  <c r="D45" i="9"/>
  <c r="D54" i="9"/>
  <c r="E54" i="9" s="1"/>
  <c r="B15" i="11" l="1"/>
  <c r="B14" i="11"/>
  <c r="B60" i="9"/>
  <c r="D57" i="9"/>
  <c r="E45" i="9"/>
  <c r="D60" i="9" l="1"/>
  <c r="B12" i="10"/>
  <c r="D12" i="10" s="1"/>
  <c r="E57" i="9"/>
  <c r="B59" i="9"/>
  <c r="D59" i="9" l="1"/>
  <c r="B11" i="10"/>
  <c r="D11" i="10" s="1"/>
</calcChain>
</file>

<file path=xl/sharedStrings.xml><?xml version="1.0" encoding="utf-8"?>
<sst xmlns="http://schemas.openxmlformats.org/spreadsheetml/2006/main" count="574" uniqueCount="458">
  <si>
    <t>MONUMENT PARAMETRIC ENGINE  --  INPUTS</t>
  </si>
  <si>
    <t>Self-contained engine workbook. Engine cells filled light green. Custom-scenario input cells filled yellow. Column G ACTIVE is the single live value every downstream sheet reads. Built 2026-05-22.</t>
  </si>
  <si>
    <t>Active Scenario:</t>
  </si>
  <si>
    <t>Base</t>
  </si>
  <si>
    <t>Input</t>
  </si>
  <si>
    <t>Staged</t>
  </si>
  <si>
    <t>Compact</t>
  </si>
  <si>
    <t>Conservation</t>
  </si>
  <si>
    <t>Custom</t>
  </si>
  <si>
    <t>ACTIVE</t>
  </si>
  <si>
    <t>Unit</t>
  </si>
  <si>
    <t>Notes / source</t>
  </si>
  <si>
    <t>LOT PROGRAM</t>
  </si>
  <si>
    <t>Revenue lots</t>
  </si>
  <si>
    <t>lots</t>
  </si>
  <si>
    <t>Monetized revenue-producing lots. Drives revenue, Foundation contributions, road band.</t>
  </si>
  <si>
    <t>Master-plan lots</t>
  </si>
  <si>
    <t>Total master-plan lots. Drives well cost. Differs from revenue lots in Base/Staged.</t>
  </si>
  <si>
    <t>Phase 1 lot count</t>
  </si>
  <si>
    <t>Compact and Conservation are single-phase.</t>
  </si>
  <si>
    <t>Phase 2 lot count</t>
  </si>
  <si>
    <t>Zero in single-phase scenarios.</t>
  </si>
  <si>
    <t>Phase 3 lot count</t>
  </si>
  <si>
    <t>Phase 1+2+3 must equal Revenue lots.</t>
  </si>
  <si>
    <t>Project commence year</t>
  </si>
  <si>
    <t>year</t>
  </si>
  <si>
    <t>Pro forma commence period.</t>
  </si>
  <si>
    <t>SALES VELOCITY (lots closing per year)</t>
  </si>
  <si>
    <t>Per-year closings. Base vector from pro forma sales schedule.</t>
  </si>
  <si>
    <t>Total (must equal Revenue lots)</t>
  </si>
  <si>
    <t>SUM check against Revenue lots row.</t>
  </si>
  <si>
    <t>PRICING</t>
  </si>
  <si>
    <t>Phase 1 lot price ($K)</t>
  </si>
  <si>
    <t>$K</t>
  </si>
  <si>
    <t>Gross lot price. Project Summary Q5 cascade.</t>
  </si>
  <si>
    <t>Phase 2 lot price ($K)</t>
  </si>
  <si>
    <t>Zero where Phase 2 count is zero.</t>
  </si>
  <si>
    <t>Phase 3 lot price ($K)</t>
  </si>
  <si>
    <t>Zero where Phase 3 count is zero.</t>
  </si>
  <si>
    <t>DEVELOPMENT COST -- TIER 1 FIXED</t>
  </si>
  <si>
    <t>Vertical amenity construction ($K)</t>
  </si>
  <si>
    <t>Lodge nodes, corrals, fort, amenities, gate. Cost Summary.</t>
  </si>
  <si>
    <t>Amenity scope multiplier</t>
  </si>
  <si>
    <t>x</t>
  </si>
  <si>
    <t>Scales vertical only. See ENGINE_CHANGELOG Session 2.</t>
  </si>
  <si>
    <t>Offsite infrastructure ($K)</t>
  </si>
  <si>
    <t>Faucet Creek roads. Fixed.</t>
  </si>
  <si>
    <t>Club equipment ($K)</t>
  </si>
  <si>
    <t>Fixed.</t>
  </si>
  <si>
    <t>DEVELOPMENT COST -- TIER 2 VARIABLE</t>
  </si>
  <si>
    <t>Well unit cost ($K/well)</t>
  </si>
  <si>
    <t>One well per master-plan lot. Team unit cost.</t>
  </si>
  <si>
    <t>In-tract road base mileage</t>
  </si>
  <si>
    <t>mi</t>
  </si>
  <si>
    <t>Lower-band mileage. Team base.</t>
  </si>
  <si>
    <t>Road cost ($K/mile)</t>
  </si>
  <si>
    <t>Team unit cost.</t>
  </si>
  <si>
    <t>Road band threshold (lots)</t>
  </si>
  <si>
    <t>Above this mileage steps up. Deliberate. See Session 2.</t>
  </si>
  <si>
    <t>Road upper-band uplift</t>
  </si>
  <si>
    <t>Plus 20pct mileage above threshold.</t>
  </si>
  <si>
    <t>In-tract power ($K)</t>
  </si>
  <si>
    <t>Fixed within in-tract.</t>
  </si>
  <si>
    <t>In-tract sewer ($K)</t>
  </si>
  <si>
    <t>In-tract land improvements ($K)</t>
  </si>
  <si>
    <t>Ski/hunt/ranch. Fixed within in-tract.</t>
  </si>
  <si>
    <t>DEVELOPMENT COST -- TIER 3 DERIVED</t>
  </si>
  <si>
    <t>Management fee rate</t>
  </si>
  <si>
    <t>pct base</t>
  </si>
  <si>
    <t>Back-solved from team flat $3,160K / $58,229.72K proj+infra base.</t>
  </si>
  <si>
    <t>Contingency rate</t>
  </si>
  <si>
    <t>Back-solved from team flat $2,500K / $58,229.72K proj+infra base.</t>
  </si>
  <si>
    <t>FOUNDATION</t>
  </si>
  <si>
    <t>Foundation contribution per lot ($K)</t>
  </si>
  <si>
    <t>Per-lot carve-out. Project Summary M9.</t>
  </si>
  <si>
    <t>Foundation yield (annual)</t>
  </si>
  <si>
    <t>pct</t>
  </si>
  <si>
    <t>Investment yield. Foundation Fund C13.</t>
  </si>
  <si>
    <t>Foundation grants ($K/yr)</t>
  </si>
  <si>
    <t>$K/yr</t>
  </si>
  <si>
    <t>Annual grants and donations.</t>
  </si>
  <si>
    <t>Foundation expense multiplier</t>
  </si>
  <si>
    <t>Share of Club Opex attributed to Foundation.</t>
  </si>
  <si>
    <t>Foundation target balance ($K)</t>
  </si>
  <si>
    <t>Documentary comparison target, not a driver.</t>
  </si>
  <si>
    <t>CAPITAL STRUCTURE</t>
  </si>
  <si>
    <t>New equity ($K)</t>
  </si>
  <si>
    <t>Peak levered equity. Project Summary E18.</t>
  </si>
  <si>
    <t>Revolving debt facility limit ($K)</t>
  </si>
  <si>
    <t>Construction revolver limit.</t>
  </si>
  <si>
    <t>Opening cash on hand ($K)</t>
  </si>
  <si>
    <t>COH at commence.</t>
  </si>
  <si>
    <t>Minimum cash balance ($K)</t>
  </si>
  <si>
    <t>Min cash covenant.</t>
  </si>
  <si>
    <t>PRE-EXISTING DEBT</t>
  </si>
  <si>
    <t>Pre-existing debt service total ($K)</t>
  </si>
  <si>
    <t>Sunk obligation. La Plata + Swans + interest. Headline #6 target.</t>
  </si>
  <si>
    <t>Balloon treatment 2032</t>
  </si>
  <si>
    <t>Sales-funded</t>
  </si>
  <si>
    <t>Refinance</t>
  </si>
  <si>
    <t>mode</t>
  </si>
  <si>
    <t>Refinance at rate below for Compact/Conservation.</t>
  </si>
  <si>
    <t>Refinance rate (if refinanced)</t>
  </si>
  <si>
    <t>Assumed 2032 refinance rate.</t>
  </si>
  <si>
    <t>TAX (not wired to the six headline numbers)</t>
  </si>
  <si>
    <t>Tax deduction realization rate</t>
  </si>
  <si>
    <t>Fraction of headline realized. Member benefit, not project cash flow.</t>
  </si>
  <si>
    <t>Tax leverage ratio</t>
  </si>
  <si>
    <t>Headline deduction-to-contribution ratio.</t>
  </si>
  <si>
    <t>OPERATIONS</t>
  </si>
  <si>
    <t>Ranch members</t>
  </si>
  <si>
    <t>count</t>
  </si>
  <si>
    <t>Project Summary row 11.</t>
  </si>
  <si>
    <t>Social members</t>
  </si>
  <si>
    <t>Project Summary row 12.</t>
  </si>
  <si>
    <t>Ranch dues ($K/yr)</t>
  </si>
  <si>
    <t>Mbrship IFs &amp; Dues J10.</t>
  </si>
  <si>
    <t>Social dues ($K/yr)</t>
  </si>
  <si>
    <t>Mbrship IFs &amp; Dues J11.</t>
  </si>
  <si>
    <t>Ranch initiation fee ($K)</t>
  </si>
  <si>
    <t>Mbrship IFs &amp; Dues I30.</t>
  </si>
  <si>
    <t>Social initiation fee ($K)</t>
  </si>
  <si>
    <t>Mbrship IFs &amp; Dues I65.</t>
  </si>
  <si>
    <t>Mech rec scope multiplier</t>
  </si>
  <si>
    <t>Multiplier on heli + ski-pass operating scope.</t>
  </si>
  <si>
    <t>STOCHASTIC DRIVERS (correlation surface -- neutral at Base; Monte Carlo writes column G)</t>
  </si>
  <si>
    <t>Snowpack index</t>
  </si>
  <si>
    <t>Neutral = 1.00. Correlated input for later Monte Carlo.</t>
  </si>
  <si>
    <t>Sales-velocity factor</t>
  </si>
  <si>
    <t>Neutral = 1.00. Scales cohort sale timing.</t>
  </si>
  <si>
    <t>Tax-realization factor</t>
  </si>
  <si>
    <t>Neutral = 1.00. Scales realized tax benefit.</t>
  </si>
  <si>
    <t>Entitlement delay (months)</t>
  </si>
  <si>
    <t>months</t>
  </si>
  <si>
    <t>Neutral = 0. Shifts program start.</t>
  </si>
  <si>
    <t>MONUMENT PARAMETRIC ENGINE  --  LOT SCHEDULE</t>
  </si>
  <si>
    <t>Parametric replacement for the team per-lot detail rows. Lots fill in strict phase order (Phase 1, then 2, then 3); the annual velocity vector consumes them. All inputs read from the Inputs sheet column G.</t>
  </si>
  <si>
    <t>Active scenario:</t>
  </si>
  <si>
    <t>Revenue lots:</t>
  </si>
  <si>
    <t>Sales-velocity factor:</t>
  </si>
  <si>
    <t>(neutral 1.00; timing-reshape mechanism is an open question, not yet wired)</t>
  </si>
  <si>
    <t>PHASE DEFINITIONS</t>
  </si>
  <si>
    <t>Phase</t>
  </si>
  <si>
    <t>Lot count</t>
  </si>
  <si>
    <t>Price ($K)</t>
  </si>
  <si>
    <t>Cum lot start</t>
  </si>
  <si>
    <t>Cum lot end</t>
  </si>
  <si>
    <t>Phase 1</t>
  </si>
  <si>
    <t>Phase 2</t>
  </si>
  <si>
    <t>Phase 3</t>
  </si>
  <si>
    <t>Total</t>
  </si>
  <si>
    <t>Check vs Revenue lots:</t>
  </si>
  <si>
    <t>ANNUAL LOT SCHEDULE</t>
  </si>
  <si>
    <t>Year</t>
  </si>
  <si>
    <t>Lots closing</t>
  </si>
  <si>
    <t>Cum start</t>
  </si>
  <si>
    <t>Cum end</t>
  </si>
  <si>
    <t>P1 lots</t>
  </si>
  <si>
    <t>P2 lots</t>
  </si>
  <si>
    <t>P3 lots</t>
  </si>
  <si>
    <t>Check</t>
  </si>
  <si>
    <t>P1 rev ($K)</t>
  </si>
  <si>
    <t>P2 rev ($K)</t>
  </si>
  <si>
    <t>P3 rev ($K)</t>
  </si>
  <si>
    <t>Total gross sales ($K)</t>
  </si>
  <si>
    <t>Cumulative revenue ($K)</t>
  </si>
  <si>
    <t>SALES COSTS</t>
  </si>
  <si>
    <t>Sales commission rate</t>
  </si>
  <si>
    <t>Commission on gross lot sales. Real Estate Sales rows 62-64 (3% all phases).</t>
  </si>
  <si>
    <t>Closing costs ($K)</t>
  </si>
  <si>
    <t>Flat closing/title costs. Real Estate Sales row 67.</t>
  </si>
  <si>
    <t>IF reconciling adjustment</t>
  </si>
  <si>
    <t>Team reported IF = 0.99 x gross (8860.5 vs 8950). Basis not located in pro forma; modeled as a 1% reconciling reduction so Base ties.</t>
  </si>
  <si>
    <t>MONUMENT PARAMETRIC ENGINE  --  REVENUE</t>
  </si>
  <si>
    <t>Real estate sales, Foundation contributions, initiation fees, and club dues by year. Gross real estate sales is headline #1. Inputs read from Inputs column G; lot flow from the Lot Schedule.</t>
  </si>
  <si>
    <t>REVENUE SUMMARY</t>
  </si>
  <si>
    <t>Metric</t>
  </si>
  <si>
    <t>Engine total ($K)</t>
  </si>
  <si>
    <t>Team ($K)</t>
  </si>
  <si>
    <t>Delta</t>
  </si>
  <si>
    <t>Note</t>
  </si>
  <si>
    <t>Gross real estate sales</t>
  </si>
  <si>
    <t>HEADLINE #1</t>
  </si>
  <si>
    <t>Selling costs</t>
  </si>
  <si>
    <t>Commission 3% + closing</t>
  </si>
  <si>
    <t>Net real estate proceeds</t>
  </si>
  <si>
    <t>Ties to Real Estate Sales NET LOT SALES line</t>
  </si>
  <si>
    <t>Foundation contributions</t>
  </si>
  <si>
    <t>Lots x per-lot contribution</t>
  </si>
  <si>
    <t>Initiation fees (net)</t>
  </si>
  <si>
    <t>Gross 8950 less 1% reconciling adj</t>
  </si>
  <si>
    <t>Club dues</t>
  </si>
  <si>
    <t>Calibrated to team member roster</t>
  </si>
  <si>
    <t>ANNUAL DETAIL</t>
  </si>
  <si>
    <t>Columns G, H, K, L are calibration constants from the team membership roster (activation timing). All other columns are formulas. Calibration columns will be regenerated per scenario at expansion.</t>
  </si>
  <si>
    <t>Gross RE sales ($K)</t>
  </si>
  <si>
    <t>Selling costs ($K)</t>
  </si>
  <si>
    <t>Net RE proceeds ($K)</t>
  </si>
  <si>
    <t>Foundation contrib ($K)</t>
  </si>
  <si>
    <t>Ranch IF joins</t>
  </si>
  <si>
    <t>Social IF joins</t>
  </si>
  <si>
    <t>IF gross ($K)</t>
  </si>
  <si>
    <t>IF net ($K)</t>
  </si>
  <si>
    <t>Ranch mbr-months</t>
  </si>
  <si>
    <t>Social mbr-months</t>
  </si>
  <si>
    <t>Club dues ($K)</t>
  </si>
  <si>
    <t>Water rights unit cost ($K/lot)</t>
  </si>
  <si>
    <t>$K/lot</t>
  </si>
  <si>
    <t>Per master-plan lot. Team unit cost $30K; see acquisition factor row 91.</t>
  </si>
  <si>
    <t>Water rights acquisition factor</t>
  </si>
  <si>
    <t>Team uses 25 water-rights units vs 50 master-plan lots (0.5). Basis not located; adopted per Utah aggregated-water-rights convention. Assumption open to challenge.</t>
  </si>
  <si>
    <t>MONUMENT PARAMETRIC ENGINE  --  DEVELOPMENT COST</t>
  </si>
  <si>
    <t>Three-tier construction cost model. Tier 1 fixed amenities scaled by amenity scope multiplier; Tier 2 variable wells/water/road; Tier 3 derived fees. Reconciliation target: team Project &amp; Constr. Cost $67,403.7K.</t>
  </si>
  <si>
    <t>THREE-TIER COST MODEL</t>
  </si>
  <si>
    <t>Component</t>
  </si>
  <si>
    <t>Amount ($K)</t>
  </si>
  <si>
    <t>Basis</t>
  </si>
  <si>
    <t>Tier 1  --  Fixed</t>
  </si>
  <si>
    <t>Vertical amenity construction</t>
  </si>
  <si>
    <t>vertical x amenity scope mult</t>
  </si>
  <si>
    <t>Lodge nodes, corrals, fort, amenities, gate</t>
  </si>
  <si>
    <t>Offsite infrastructure</t>
  </si>
  <si>
    <t>fixed</t>
  </si>
  <si>
    <t>Faucet Creek roads</t>
  </si>
  <si>
    <t>Club equipment</t>
  </si>
  <si>
    <t>Not in mgmt-fee/contingency base</t>
  </si>
  <si>
    <t>Tier 1 subtotal</t>
  </si>
  <si>
    <t>Tier 2  --  Variable</t>
  </si>
  <si>
    <t>Wells</t>
  </si>
  <si>
    <t>well unit cost x master-plan lots</t>
  </si>
  <si>
    <t>One well per master-plan lot</t>
  </si>
  <si>
    <t>Water rights</t>
  </si>
  <si>
    <t>unit cost x master-plan lots x 0.5</t>
  </si>
  <si>
    <t>Acquisition factor 0.5; see Inputs row 91</t>
  </si>
  <si>
    <t>In-tract roads</t>
  </si>
  <si>
    <t>band logic x road cost/mile</t>
  </si>
  <si>
    <t>Base 18.41 mi; +20pct above 30 revenue lots</t>
  </si>
  <si>
    <t>In-tract power</t>
  </si>
  <si>
    <t>In-tract sewer</t>
  </si>
  <si>
    <t>In-tract land improvements</t>
  </si>
  <si>
    <t>Ski / hunt / ranch</t>
  </si>
  <si>
    <t>Tier 2 subtotal</t>
  </si>
  <si>
    <t>Tier 3  --  Derived</t>
  </si>
  <si>
    <t>Project + infrastructure base</t>
  </si>
  <si>
    <t>vertical+offsite+Tier2</t>
  </si>
  <si>
    <t>Excludes club equipment, per team structure</t>
  </si>
  <si>
    <t>Management fees</t>
  </si>
  <si>
    <t>base x 5.4267pct</t>
  </si>
  <si>
    <t>Contingency</t>
  </si>
  <si>
    <t>base x 4.2933pct</t>
  </si>
  <si>
    <t>Tier 3 subtotal</t>
  </si>
  <si>
    <t>TOTAL DEVELOPMENT COST</t>
  </si>
  <si>
    <t>Team Project &amp; Constr. Cost</t>
  </si>
  <si>
    <t>Delta (engine - team)</t>
  </si>
  <si>
    <t>ANNUAL PHASING</t>
  </si>
  <si>
    <t>Phases the three-tier total by the team overall development-cost curve (Cash Flow Summary), normalized. NOTE: the team Total Development Cost in the cash flow is $100,999.84K and includes pre-development and sales &amp; marketing not in the three-tier model. The construction-vs-total gap and final phasing are resolved at the Cash Flow sheet.</t>
  </si>
  <si>
    <t>Phasing share</t>
  </si>
  <si>
    <t>Development cost ($K)</t>
  </si>
  <si>
    <t>Foundation initial contribution ($K)</t>
  </si>
  <si>
    <t>Seed contribution at fund inception. Foundation Fund row 12.</t>
  </si>
  <si>
    <t>MONUMENT PARAMETRIC ENGINE  --  FOUNDATION</t>
  </si>
  <si>
    <t>FOUNDATION SUMMARY</t>
  </si>
  <si>
    <t>Engine ($K)</t>
  </si>
  <si>
    <t>End fund balance 2037</t>
  </si>
  <si>
    <t>HEADLINE #5</t>
  </si>
  <si>
    <t>Total lot contributions</t>
  </si>
  <si>
    <t>Total grants</t>
  </si>
  <si>
    <t>Total Foundation expenses</t>
  </si>
  <si>
    <t>Total investment yield</t>
  </si>
  <si>
    <t>ANNUAL ROLL-FORWARD</t>
  </si>
  <si>
    <t>Begin balance</t>
  </si>
  <si>
    <t>Lot contributions</t>
  </si>
  <si>
    <t>Grants</t>
  </si>
  <si>
    <t>Foundation expenses</t>
  </si>
  <si>
    <t>Average balance</t>
  </si>
  <si>
    <t>Investment yield</t>
  </si>
  <si>
    <t>End balance</t>
  </si>
  <si>
    <t>Expense calib base</t>
  </si>
  <si>
    <t>Grant ramp factor</t>
  </si>
  <si>
    <t>Foundation fund annual roll-forward with a tightened intra-year convention mirroring the team monthly-compounding model. Reconciliation target: end balance 2037 = $33,525K.</t>
  </si>
  <si>
    <t>INTRA-YEAR TIMING CONVENTION (TIGHTENED)</t>
  </si>
  <si>
    <t>Contributions and grants at mid-year (0.5 weight). Expenses paid evenly, return-before-expense sequencing (0.458 weight). Yield on average balance at the monthly-effective annual rate. Contributions recognized on the team contract-led schedule.</t>
  </si>
  <si>
    <t>Effective annual yield rate</t>
  </si>
  <si>
    <t>monthly compounding of the Inputs yield rate</t>
  </si>
  <si>
    <t>Expense weight</t>
  </si>
  <si>
    <t>return-before-expense monthly sequencing</t>
  </si>
  <si>
    <t>Contribution recognition (lots)</t>
  </si>
  <si>
    <t>MONUMENT PARAMETRIC ENGINE  --  DEBT</t>
  </si>
  <si>
    <t>Pre-existing debt (La Plata + Swans). Amortization built from loan terms by PMT, not from the team Pre-Existing Debt sheet (which carries Lotus-import #REF! errors). Annual amortization for the annual engine. Both balloon paths computed; the Cash Flow sheet selects.</t>
  </si>
  <si>
    <t>LOAN TERMS</t>
  </si>
  <si>
    <t>Loan</t>
  </si>
  <si>
    <t>Principal ($K)</t>
  </si>
  <si>
    <t>Annual rate</t>
  </si>
  <si>
    <t>Amort years</t>
  </si>
  <si>
    <t>Term years</t>
  </si>
  <si>
    <t>Annual payment ($K)</t>
  </si>
  <si>
    <t>La Plata</t>
  </si>
  <si>
    <t>Swans</t>
  </si>
  <si>
    <t>Refinance rate (balloon, both loans)</t>
  </si>
  <si>
    <t>Origination Sept 2026; 6 annual payments 2026-2031; balloon Sept 2032.</t>
  </si>
  <si>
    <t>LA PLATA  --  AMORTIZATION (ORIGINAL 6-YEAR TERM)</t>
  </si>
  <si>
    <t>Interest</t>
  </si>
  <si>
    <t>Payment</t>
  </si>
  <si>
    <t>Principal</t>
  </si>
  <si>
    <t>SWANS  --  AMORTIZATION (ORIGINAL 6-YEAR TERM)</t>
  </si>
  <si>
    <t>BALLOON AT SEPTEMBER 2032</t>
  </si>
  <si>
    <t>La Plata balloon</t>
  </si>
  <si>
    <t>Swans balloon</t>
  </si>
  <si>
    <t>Combined balloon</t>
  </si>
  <si>
    <t>REFINANCE PATH  --  BALLOON REFINANCED AT 7.5%</t>
  </si>
  <si>
    <t>Balloon ($K)</t>
  </si>
  <si>
    <t>Refi rate</t>
  </si>
  <si>
    <t>Refi amort years</t>
  </si>
  <si>
    <t>COMBINED ANNUAL DEBT SERVICE  --  BOTH BALLOON PATHS</t>
  </si>
  <si>
    <t>La Plata (retire)</t>
  </si>
  <si>
    <t>Swans (retire)</t>
  </si>
  <si>
    <t>Retire path total</t>
  </si>
  <si>
    <t>La Plata (refi)</t>
  </si>
  <si>
    <t>Swans (refi)</t>
  </si>
  <si>
    <t>Refinance path total</t>
  </si>
  <si>
    <t>HEADLINE #6 RECONCILIATION</t>
  </si>
  <si>
    <t>Engine: total pre-existing debt service (retire path, 2026-2032)</t>
  </si>
  <si>
    <t>Team target</t>
  </si>
  <si>
    <t>Pre-development cost ($K)</t>
  </si>
  <si>
    <t>Entitlement, design, permitting. Pre-Dev Detail sheet. Fixed across scenarios.</t>
  </si>
  <si>
    <t>Sales &amp; marketing rate (frac of gross RE)</t>
  </si>
  <si>
    <t>frac</t>
  </si>
  <si>
    <t>Sales &amp; Marketing Detail $1,122.99K / $146M gross = 0.77pct. Low vs 4-6pct norm: Monument is a pre-sold club.</t>
  </si>
  <si>
    <t>MONUMENT PARAMETRIC ENGINE  --  CASH FLOW</t>
  </si>
  <si>
    <t>STAGE A: structural Sources and Uses. Net profit (headline #4) = total non-equity inflows minus total non-distribution outflows. Intra-year timing, XIRR and MOIC are Stage B.</t>
  </si>
  <si>
    <t>SOURCES &amp; USES  --  STAGE A</t>
  </si>
  <si>
    <t>Line item</t>
  </si>
  <si>
    <t>Total ($K)</t>
  </si>
  <si>
    <t>Source / note</t>
  </si>
  <si>
    <t>SOURCES (non-equity)</t>
  </si>
  <si>
    <t>Opening cash on hand</t>
  </si>
  <si>
    <t>Inputs G60</t>
  </si>
  <si>
    <t>Developer lot real estate</t>
  </si>
  <si>
    <t>Revenue: gross less commission less Foundation carve</t>
  </si>
  <si>
    <t>Fractional cabin sales</t>
  </si>
  <si>
    <t>Carried: team, 16 shares x $750K</t>
  </si>
  <si>
    <t>Revenue lot contributions + initial seed</t>
  </si>
  <si>
    <t>Foundation investment yield</t>
  </si>
  <si>
    <t>Foundation sheet</t>
  </si>
  <si>
    <t>Foundation grants</t>
  </si>
  <si>
    <t>Revenue sheet</t>
  </si>
  <si>
    <t>Interest on cash on hand</t>
  </si>
  <si>
    <t>Carried: team</t>
  </si>
  <si>
    <t>Other club revenue</t>
  </si>
  <si>
    <t>Total Sources (non-equity)</t>
  </si>
  <si>
    <t>USES (non-distribution)</t>
  </si>
  <si>
    <t>Project &amp; construction cost</t>
  </si>
  <si>
    <t>Development Cost sheet</t>
  </si>
  <si>
    <t>Pre-development</t>
  </si>
  <si>
    <t>Inputs G93 (fixed)</t>
  </si>
  <si>
    <t>Sales &amp; marketing</t>
  </si>
  <si>
    <t>Inputs G94 x gross RE (0.77pct)</t>
  </si>
  <si>
    <t>Cabin construction</t>
  </si>
  <si>
    <t>Carried: team, 10 cabins</t>
  </si>
  <si>
    <t>Club operating expense</t>
  </si>
  <si>
    <t>Pre-existing debt service</t>
  </si>
  <si>
    <t>Debt sheet, retire path</t>
  </si>
  <si>
    <t>Construction debt interest</t>
  </si>
  <si>
    <t>Foundation end balance</t>
  </si>
  <si>
    <t>Foundation sheet (locked, not distributed)</t>
  </si>
  <si>
    <t>Total Uses (non-distribution)</t>
  </si>
  <si>
    <t>NET PROFIT  --  HEADLINE #4</t>
  </si>
  <si>
    <t>Net profit (engine)</t>
  </si>
  <si>
    <t>Team net profit</t>
  </si>
  <si>
    <t>Delta is the propagated Sheet-6 debt residual (-$193.6K within Debt tolerance, +$193.6K here). Accepted per the Reconciliation Framework: traced, single-source, documented.</t>
  </si>
  <si>
    <t>STAGE B  --  EQUITY CASH FLOW, XIRR, MOIC</t>
  </si>
  <si>
    <t>New-equity cash flow. Equity contributed during construction (2026-2027, team split); distributions follow the team post-revolver-repayment sequence (balloon aligned to 2031 per Base convention); distribution amounts are the engine reconciled distributable cash. Columns B and C are calibration constants from the team annual cash flow.</t>
  </si>
  <si>
    <t>Total distributable to equity ($K)</t>
  </si>
  <si>
    <t>Team total distribution ($K)</t>
  </si>
  <si>
    <t>Engine / team scale factor</t>
  </si>
  <si>
    <t>Equity contribution</t>
  </si>
  <si>
    <t>Team dist timing</t>
  </si>
  <si>
    <t>Distribution (engine)</t>
  </si>
  <si>
    <t>Net equity cash flow</t>
  </si>
  <si>
    <t>Date</t>
  </si>
  <si>
    <t>New-equity XIRR</t>
  </si>
  <si>
    <t>HEADLINE #2  (target 16.2pct, tol 16 bps)</t>
  </si>
  <si>
    <t>MOIC</t>
  </si>
  <si>
    <t>HEADLINE #3  (target 1.79x; carries propagated residual)</t>
  </si>
  <si>
    <t>Net profit</t>
  </si>
  <si>
    <t>HEADLINE #4  (Stage A)</t>
  </si>
  <si>
    <t>DISTRIBUTION WATERFALL  --  FOUR TIERS</t>
  </si>
  <si>
    <t>Built from the team tier structure (their Waterfall sheet has broken internals). New equity has priority over existing equity.</t>
  </si>
  <si>
    <t>Tier</t>
  </si>
  <si>
    <t>IRR band</t>
  </si>
  <si>
    <t>Investor share</t>
  </si>
  <si>
    <t>Sponsor share</t>
  </si>
  <si>
    <t>Tier 1</t>
  </si>
  <si>
    <t>0 - 12pct</t>
  </si>
  <si>
    <t>Tier 2</t>
  </si>
  <si>
    <t>12 - 16pct</t>
  </si>
  <si>
    <t>Tier 3</t>
  </si>
  <si>
    <t>16 - 20pct</t>
  </si>
  <si>
    <t>Tier 4</t>
  </si>
  <si>
    <t>above 20pct</t>
  </si>
  <si>
    <t>New-equity realized XIRR lands in Tier 3 (16-20pct band). Investor cleared the 12pct and 16pct hurdles; sponsor promote engages at the 10pct then 20pct rates.</t>
  </si>
  <si>
    <t>MONUMENT PARAMETRIC ENGINE  --  RECONCILIATION</t>
  </si>
  <si>
    <t>Validation dashboard. Engine outputs vs the team pro forma at Base Case inputs. No calculation happens here; every engine value is pulled live from the calculation sheets.</t>
  </si>
  <si>
    <t>Reconciliation is defined at Base Case. With the dropdown on Base, the engine reproduces the team numbers as shown. Other scenarios have no team comparator.</t>
  </si>
  <si>
    <t>RECONCILIATION FRAMEWORK</t>
  </si>
  <si>
    <t>The engine reconciles to the team six headline numbers at Base Case inputs. Three reconcile exactly or near-exactly (real estate revenue, levered XIRR, pre-existing debt service, plus the Foundation end balance). Three (net profit, MOIC, and the residual visible in XIRR) carry a single propagated residual that originates in the pre-existing debt service calculation, which itself reconciles within its own tolerance. The pre-existing debt is built from stated loan terms by PMT; the team implied payment runs about $23K per year higher, unexplained, plausibly fees or a land-contract premium. That residual propagates downstream because net profit is a smaller number with a tighter tolerance. The propagation is documented and traced to a single source; the engine introduces no compensating adjustments to mask it. See ENGINE_CHANGELOG.md, section Reconciliation Framework, for full detail.</t>
  </si>
  <si>
    <t>SIX-NUMBER RECONCILIATION  --  BASE CASE</t>
  </si>
  <si>
    <t>Headline</t>
  </si>
  <si>
    <t>Engine</t>
  </si>
  <si>
    <t>Team</t>
  </si>
  <si>
    <t>Tolerance</t>
  </si>
  <si>
    <t>Status</t>
  </si>
  <si>
    <t>1  Total real estate revenue ($K)</t>
  </si>
  <si>
    <t>+/- 1%</t>
  </si>
  <si>
    <t>PASS  (exact)</t>
  </si>
  <si>
    <t>Gross lot sales, 27 lots</t>
  </si>
  <si>
    <t>2  Levered XIRR (new equity)</t>
  </si>
  <si>
    <t>+/- 16 bps</t>
  </si>
  <si>
    <t>PASS  (+4.7 bps)</t>
  </si>
  <si>
    <t>Within tolerance; carries propagated residual lightly (late-year discounting)</t>
  </si>
  <si>
    <t>3  MOIC (new equity)</t>
  </si>
  <si>
    <t>+/- 0.018</t>
  </si>
  <si>
    <t>ACCEPTED  (framework)</t>
  </si>
  <si>
    <t>Propagated debt residual: MOIC = 1 + net profit / equity</t>
  </si>
  <si>
    <t>4  Net profit ($K)</t>
  </si>
  <si>
    <t>+/- $79K</t>
  </si>
  <si>
    <t>Propagated debt residual, single source, documented</t>
  </si>
  <si>
    <t>5  Foundation end balance 2037 ($K)</t>
  </si>
  <si>
    <t>+/- $335K</t>
  </si>
  <si>
    <t>PASS</t>
  </si>
  <si>
    <t>Annual-vs-monthly approximation, within tolerance</t>
  </si>
  <si>
    <t>6  Pre-existing debt service ($K)</t>
  </si>
  <si>
    <t>+/- $310K</t>
  </si>
  <si>
    <t>PMT from stated terms; team implied payment ~$23K/yr higher</t>
  </si>
  <si>
    <t>WHAT TO LOOK AT  --  ORIENTATION FOR A FIRST-TIME READER</t>
  </si>
  <si>
    <t>Inputs sheet: every parametric control. The scenario dropdown is cell B3; the live value of each input is column G. Yellow cells are the Custom scenario inputs; light green is engine-built.</t>
  </si>
  <si>
    <t>Reconciliation sheet (this one): the six-number validation dashboard. It confirms the engine reproduces the team pro forma at Base Case.</t>
  </si>
  <si>
    <t>ENGINE_CHANGELOG.md (in the project folder): the full audit trail. Every modeling decision, every residual, every convention, written for a skeptical partner.</t>
  </si>
  <si>
    <t>Calculation order: Inputs feeds Lot Schedule, then Revenue, Development Cost, Foundation, and Debt, which feed Cash Flow, which lands here. Each sheet reads the one before it; nothing reads backward.</t>
  </si>
  <si>
    <t>MONUMENT PARAMETRIC ENGINE  --  PEAK FUNDING REQUIREMENT</t>
  </si>
  <si>
    <t>Monthly cash-position sub-model. Peak Funding Requirement = depth of the cumulative cash trough. Engine body stays annual; this sheet feeds the funding metric only. Revenue at team close months; costs spread monthly. Cabin construction at team timing (months 45-68).</t>
  </si>
  <si>
    <t>PARAMETERS</t>
  </si>
  <si>
    <t>Revolver limit ($K)</t>
  </si>
  <si>
    <t>New equity raise ($K)</t>
  </si>
  <si>
    <t>Revenue scale (scenario / Base)</t>
  </si>
  <si>
    <t>Construction scale (scenario / Base)</t>
  </si>
  <si>
    <t>RESULT</t>
  </si>
  <si>
    <t>Peak Funding Requirement ($K)</t>
  </si>
  <si>
    <t>Idle equity ($K) = raise - PFR</t>
  </si>
  <si>
    <t>Status vs $20M capacity</t>
  </si>
  <si>
    <t>Month</t>
  </si>
  <si>
    <t>Dev RE base</t>
  </si>
  <si>
    <t>Construction base</t>
  </si>
  <si>
    <t>Other net base</t>
  </si>
  <si>
    <t>Monthly net</t>
  </si>
  <si>
    <t>Cumulative</t>
  </si>
  <si>
    <t>Cabin scope multiplier</t>
  </si>
  <si>
    <t>Scales the 10-cabin program. Base/Staged 1.0; Compact 0.8 (8 cabins); Conservation 0.6 (6 cabins). Stepwise integer-cabin counts in disguise.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</si>
</sst>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164" formatCode="#,##0.0"/>
    <numFmt numFmtId="165" formatCode="0.000000"/>
    <numFmt numFmtId="166" formatCode="0.000"/>
    <numFmt numFmtId="167" formatCode="#,##0.0000"/>
    <numFmt numFmtId="168" formatCode="yyyy\-mm\-dd"/>
    <numFmt numFmtId="169" formatCode="0.0000"/>
    <numFmt numFmtId="170" formatCode="0.000%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3"/>
      <color theme="1"/>
      <name val="Calibri"/>
      <family val="2"/>
    </font>
    <font>
      <i/>
      <sz val="8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4CDB9"/>
        <bgColor indexed="64"/>
      </patternFill>
    </fill>
    <fill>
      <patternFill patternType="solid">
        <fgColor rgb="FFFFE4B5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1" fillId="0" borderId="0" xfId="0" applyFont="1"/>
    <xf numFmtId="0" fontId="3" fillId="2" borderId="1" xfId="0" applyFont="1" applyFill="1" applyBorder="1"/>
    <xf numFmtId="0" fontId="3" fillId="4" borderId="0" xfId="0" applyFont="1" applyFill="1"/>
    <xf numFmtId="0" fontId="2" fillId="2" borderId="1" xfId="0" applyFont="1" applyFill="1" applyBorder="1"/>
    <xf numFmtId="0" fontId="3" fillId="5" borderId="0" xfId="0" applyFont="1" applyFill="1"/>
    <xf numFmtId="3" fontId="2" fillId="2" borderId="0" xfId="0" applyNumberFormat="1" applyFont="1" applyFill="1"/>
    <xf numFmtId="3" fontId="3" fillId="2" borderId="0" xfId="0" applyNumberFormat="1" applyFont="1" applyFill="1"/>
    <xf numFmtId="1" fontId="2" fillId="2" borderId="0" xfId="0" applyNumberFormat="1" applyFont="1" applyFill="1"/>
    <xf numFmtId="0" fontId="2" fillId="6" borderId="0" xfId="0" applyFont="1" applyFill="1"/>
    <xf numFmtId="164" fontId="3" fillId="2" borderId="0" xfId="0" applyNumberFormat="1" applyFont="1" applyFill="1"/>
    <xf numFmtId="164" fontId="2" fillId="2" borderId="0" xfId="0" applyNumberFormat="1" applyFont="1" applyFill="1"/>
    <xf numFmtId="0" fontId="3" fillId="7" borderId="0" xfId="0" applyFont="1" applyFill="1"/>
    <xf numFmtId="0" fontId="6" fillId="2" borderId="0" xfId="0" applyFont="1" applyFill="1"/>
    <xf numFmtId="4" fontId="2" fillId="2" borderId="0" xfId="0" applyNumberFormat="1" applyFont="1" applyFill="1"/>
    <xf numFmtId="4" fontId="3" fillId="2" borderId="0" xfId="0" applyNumberFormat="1" applyFont="1" applyFill="1"/>
    <xf numFmtId="4" fontId="3" fillId="7" borderId="0" xfId="0" applyNumberFormat="1" applyFont="1" applyFill="1"/>
    <xf numFmtId="4" fontId="6" fillId="2" borderId="0" xfId="0" applyNumberFormat="1" applyFont="1" applyFill="1"/>
    <xf numFmtId="165" fontId="2" fillId="2" borderId="0" xfId="0" applyNumberFormat="1" applyFont="1" applyFill="1"/>
    <xf numFmtId="4" fontId="2" fillId="6" borderId="0" xfId="0" applyNumberFormat="1" applyFont="1" applyFill="1"/>
    <xf numFmtId="166" fontId="2" fillId="6" borderId="0" xfId="0" applyNumberFormat="1" applyFont="1" applyFill="1"/>
    <xf numFmtId="165" fontId="3" fillId="2" borderId="0" xfId="0" applyNumberFormat="1" applyFont="1" applyFill="1"/>
    <xf numFmtId="8" fontId="2" fillId="2" borderId="0" xfId="0" applyNumberFormat="1" applyFont="1" applyFill="1"/>
    <xf numFmtId="4" fontId="3" fillId="4" borderId="0" xfId="0" applyNumberFormat="1" applyFont="1" applyFill="1"/>
    <xf numFmtId="4" fontId="3" fillId="5" borderId="0" xfId="0" applyNumberFormat="1" applyFont="1" applyFill="1"/>
    <xf numFmtId="166" fontId="2" fillId="2" borderId="0" xfId="0" applyNumberFormat="1" applyFont="1" applyFill="1"/>
    <xf numFmtId="1" fontId="3" fillId="2" borderId="0" xfId="0" applyNumberFormat="1" applyFont="1" applyFill="1"/>
    <xf numFmtId="0" fontId="7" fillId="2" borderId="0" xfId="0" applyFont="1" applyFill="1"/>
    <xf numFmtId="0" fontId="8" fillId="2" borderId="0" xfId="0" applyFont="1" applyFill="1"/>
    <xf numFmtId="0" fontId="8" fillId="4" borderId="0" xfId="0" applyFont="1" applyFill="1"/>
    <xf numFmtId="0" fontId="8" fillId="5" borderId="0" xfId="0" applyFont="1" applyFill="1"/>
    <xf numFmtId="164" fontId="7" fillId="2" borderId="0" xfId="0" applyNumberFormat="1" applyFont="1" applyFill="1"/>
    <xf numFmtId="164" fontId="7" fillId="6" borderId="0" xfId="0" applyNumberFormat="1" applyFont="1" applyFill="1"/>
    <xf numFmtId="164" fontId="8" fillId="2" borderId="0" xfId="0" applyNumberFormat="1" applyFont="1" applyFill="1"/>
    <xf numFmtId="164" fontId="8" fillId="5" borderId="0" xfId="0" applyNumberFormat="1" applyFont="1" applyFill="1"/>
    <xf numFmtId="164" fontId="8" fillId="4" borderId="0" xfId="0" applyNumberFormat="1" applyFont="1" applyFill="1"/>
    <xf numFmtId="164" fontId="6" fillId="2" borderId="0" xfId="0" applyNumberFormat="1" applyFont="1" applyFill="1"/>
    <xf numFmtId="167" fontId="7" fillId="2" borderId="0" xfId="0" applyNumberFormat="1" applyFont="1" applyFill="1"/>
    <xf numFmtId="4" fontId="7" fillId="6" borderId="0" xfId="0" applyNumberFormat="1" applyFont="1" applyFill="1"/>
    <xf numFmtId="4" fontId="7" fillId="2" borderId="0" xfId="0" applyNumberFormat="1" applyFont="1" applyFill="1"/>
    <xf numFmtId="4" fontId="8" fillId="2" borderId="0" xfId="0" applyNumberFormat="1" applyFont="1" applyFill="1"/>
    <xf numFmtId="168" fontId="7" fillId="2" borderId="0" xfId="0" applyNumberFormat="1" applyFont="1" applyFill="1"/>
    <xf numFmtId="169" fontId="6" fillId="2" borderId="0" xfId="0" applyNumberFormat="1" applyFont="1" applyFill="1"/>
    <xf numFmtId="169" fontId="8" fillId="2" borderId="0" xfId="0" applyNumberFormat="1" applyFont="1" applyFill="1"/>
    <xf numFmtId="166" fontId="6" fillId="2" borderId="0" xfId="0" applyNumberFormat="1" applyFont="1" applyFill="1"/>
    <xf numFmtId="166" fontId="8" fillId="2" borderId="0" xfId="0" applyNumberFormat="1" applyFont="1" applyFill="1"/>
    <xf numFmtId="2" fontId="7" fillId="2" borderId="0" xfId="0" applyNumberFormat="1" applyFont="1" applyFill="1"/>
    <xf numFmtId="0" fontId="3" fillId="5" borderId="2" xfId="0" applyFont="1" applyFill="1" applyBorder="1"/>
    <xf numFmtId="0" fontId="3" fillId="2" borderId="2" xfId="0" applyFont="1" applyFill="1" applyBorder="1"/>
    <xf numFmtId="3" fontId="3" fillId="2" borderId="2" xfId="0" applyNumberFormat="1" applyFont="1" applyFill="1" applyBorder="1"/>
    <xf numFmtId="3" fontId="2" fillId="2" borderId="2" xfId="0" applyNumberFormat="1" applyFont="1" applyFill="1" applyBorder="1"/>
    <xf numFmtId="0" fontId="2" fillId="2" borderId="2" xfId="0" applyFont="1" applyFill="1" applyBorder="1"/>
    <xf numFmtId="170" fontId="3" fillId="2" borderId="2" xfId="0" applyNumberFormat="1" applyFont="1" applyFill="1" applyBorder="1"/>
    <xf numFmtId="170" fontId="2" fillId="2" borderId="2" xfId="0" applyNumberFormat="1" applyFont="1" applyFill="1" applyBorder="1"/>
    <xf numFmtId="166" fontId="3" fillId="2" borderId="2" xfId="0" applyNumberFormat="1" applyFont="1" applyFill="1" applyBorder="1"/>
    <xf numFmtId="166" fontId="2" fillId="2" borderId="2" xfId="0" applyNumberFormat="1" applyFont="1" applyFill="1" applyBorder="1"/>
    <xf numFmtId="4" fontId="3" fillId="2" borderId="2" xfId="0" applyNumberFormat="1" applyFont="1" applyFill="1" applyBorder="1"/>
    <xf numFmtId="4" fontId="2" fillId="2" borderId="2" xfId="0" applyNumberFormat="1" applyFont="1" applyFill="1" applyBorder="1"/>
    <xf numFmtId="3" fontId="7" fillId="2" borderId="0" xfId="0" applyNumberFormat="1" applyFont="1" applyFill="1"/>
    <xf numFmtId="3" fontId="8" fillId="4" borderId="0" xfId="0" applyNumberFormat="1" applyFont="1" applyFill="1"/>
    <xf numFmtId="3" fontId="6" fillId="2" borderId="0" xfId="0" applyNumberFormat="1" applyFont="1" applyFill="1"/>
    <xf numFmtId="3" fontId="8" fillId="2" borderId="0" xfId="0" applyNumberFormat="1" applyFont="1" applyFill="1"/>
    <xf numFmtId="166" fontId="7" fillId="2" borderId="0" xfId="0" applyNumberFormat="1" applyFont="1" applyFill="1"/>
    <xf numFmtId="3" fontId="7" fillId="6" borderId="0" xfId="0" applyNumberFormat="1" applyFont="1" applyFill="1"/>
    <xf numFmtId="0" fontId="7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90E1-CD50-4D90-BAD7-F080FE7032DC}">
  <dimension ref="A1:I95"/>
  <sheetViews>
    <sheetView tabSelected="1" workbookViewId="0">
      <pane ySplit="5" topLeftCell="A6" activePane="bottomLeft" state="frozenSplit"/>
      <selection pane="bottomLeft" activeCell="D9" sqref="D9"/>
    </sheetView>
  </sheetViews>
  <sheetFormatPr defaultRowHeight="15" x14ac:dyDescent="0.25"/>
  <cols>
    <col min="1" max="1" width="34.7109375" customWidth="1"/>
    <col min="2" max="7" width="12.7109375" customWidth="1"/>
    <col min="8" max="8" width="9.7109375" customWidth="1"/>
    <col min="9" max="9" width="62.7109375" customWidth="1"/>
  </cols>
  <sheetData>
    <row r="1" spans="1:9" ht="17.25" x14ac:dyDescent="0.3">
      <c r="A1" s="4" t="s">
        <v>0</v>
      </c>
      <c r="B1" s="1"/>
      <c r="C1" s="1"/>
      <c r="D1" s="1"/>
      <c r="E1" s="1"/>
      <c r="F1" s="1"/>
      <c r="G1" s="1"/>
      <c r="H1" s="1"/>
      <c r="I1" s="1"/>
    </row>
    <row r="2" spans="1:9" ht="15.75" thickBot="1" x14ac:dyDescent="0.3">
      <c r="A2" s="5" t="s">
        <v>1</v>
      </c>
      <c r="B2" s="1"/>
      <c r="C2" s="1"/>
      <c r="D2" s="1"/>
      <c r="E2" s="1"/>
      <c r="F2" s="1"/>
      <c r="G2" s="1"/>
      <c r="H2" s="1"/>
      <c r="I2" s="1"/>
    </row>
    <row r="3" spans="1:9" ht="15.75" thickBot="1" x14ac:dyDescent="0.3">
      <c r="A3" s="3" t="s">
        <v>2</v>
      </c>
      <c r="B3" s="7" t="s">
        <v>3</v>
      </c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s="6" customFormat="1" x14ac:dyDescent="0.25">
      <c r="A5" s="3" t="s">
        <v>4</v>
      </c>
      <c r="B5" s="3" t="s">
        <v>3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spans="1:9" s="6" customFormat="1" x14ac:dyDescent="0.25">
      <c r="A6" s="8" t="s">
        <v>12</v>
      </c>
      <c r="B6" s="8"/>
      <c r="C6" s="8"/>
      <c r="D6" s="8"/>
      <c r="E6" s="8"/>
      <c r="F6" s="8"/>
      <c r="G6" s="8"/>
      <c r="H6" s="8"/>
      <c r="I6" s="8"/>
    </row>
    <row r="7" spans="1:9" x14ac:dyDescent="0.25">
      <c r="A7" s="1" t="s">
        <v>13</v>
      </c>
      <c r="B7" s="1">
        <v>27</v>
      </c>
      <c r="C7" s="1">
        <v>27</v>
      </c>
      <c r="D7" s="1">
        <v>32</v>
      </c>
      <c r="E7" s="1">
        <v>25</v>
      </c>
      <c r="F7" s="2">
        <v>27</v>
      </c>
      <c r="G7" s="1">
        <f t="shared" ref="G7:G12" si="0">INDEX(B7:F7,MATCH($B$3,$B$5:$F$5,0))</f>
        <v>27</v>
      </c>
      <c r="H7" s="1" t="s">
        <v>14</v>
      </c>
      <c r="I7" s="1" t="s">
        <v>15</v>
      </c>
    </row>
    <row r="8" spans="1:9" x14ac:dyDescent="0.25">
      <c r="A8" s="1" t="s">
        <v>16</v>
      </c>
      <c r="B8" s="1">
        <v>50</v>
      </c>
      <c r="C8" s="1">
        <v>50</v>
      </c>
      <c r="D8" s="1">
        <v>32</v>
      </c>
      <c r="E8" s="1">
        <v>25</v>
      </c>
      <c r="F8" s="2">
        <v>50</v>
      </c>
      <c r="G8" s="1">
        <f t="shared" si="0"/>
        <v>50</v>
      </c>
      <c r="H8" s="1" t="s">
        <v>14</v>
      </c>
      <c r="I8" s="1" t="s">
        <v>17</v>
      </c>
    </row>
    <row r="9" spans="1:9" x14ac:dyDescent="0.25">
      <c r="A9" s="1" t="s">
        <v>18</v>
      </c>
      <c r="B9" s="1">
        <v>10</v>
      </c>
      <c r="C9" s="1">
        <v>10</v>
      </c>
      <c r="D9" s="1">
        <v>32</v>
      </c>
      <c r="E9" s="1">
        <v>25</v>
      </c>
      <c r="F9" s="2">
        <v>27</v>
      </c>
      <c r="G9" s="1">
        <f t="shared" si="0"/>
        <v>10</v>
      </c>
      <c r="H9" s="1" t="s">
        <v>14</v>
      </c>
      <c r="I9" s="1" t="s">
        <v>19</v>
      </c>
    </row>
    <row r="10" spans="1:9" x14ac:dyDescent="0.25">
      <c r="A10" s="1" t="s">
        <v>20</v>
      </c>
      <c r="B10" s="1">
        <v>12</v>
      </c>
      <c r="C10" s="1">
        <v>12</v>
      </c>
      <c r="D10" s="1">
        <v>0</v>
      </c>
      <c r="E10" s="1">
        <v>0</v>
      </c>
      <c r="F10" s="2">
        <v>0</v>
      </c>
      <c r="G10" s="1">
        <f t="shared" si="0"/>
        <v>12</v>
      </c>
      <c r="H10" s="1" t="s">
        <v>14</v>
      </c>
      <c r="I10" s="1" t="s">
        <v>21</v>
      </c>
    </row>
    <row r="11" spans="1:9" x14ac:dyDescent="0.25">
      <c r="A11" s="1" t="s">
        <v>22</v>
      </c>
      <c r="B11" s="1">
        <v>5</v>
      </c>
      <c r="C11" s="1">
        <v>5</v>
      </c>
      <c r="D11" s="1">
        <v>0</v>
      </c>
      <c r="E11" s="1">
        <v>0</v>
      </c>
      <c r="F11" s="2">
        <v>0</v>
      </c>
      <c r="G11" s="1">
        <f t="shared" si="0"/>
        <v>5</v>
      </c>
      <c r="H11" s="1" t="s">
        <v>14</v>
      </c>
      <c r="I11" s="1" t="s">
        <v>23</v>
      </c>
    </row>
    <row r="12" spans="1:9" x14ac:dyDescent="0.25">
      <c r="A12" s="1" t="s">
        <v>24</v>
      </c>
      <c r="B12" s="1">
        <v>2026</v>
      </c>
      <c r="C12" s="1">
        <v>2026</v>
      </c>
      <c r="D12" s="1">
        <v>2026</v>
      </c>
      <c r="E12" s="1">
        <v>2026</v>
      </c>
      <c r="F12" s="2">
        <v>2026</v>
      </c>
      <c r="G12" s="1">
        <f t="shared" si="0"/>
        <v>2026</v>
      </c>
      <c r="H12" s="1" t="s">
        <v>25</v>
      </c>
      <c r="I12" s="1" t="s">
        <v>26</v>
      </c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s="6" customFormat="1" x14ac:dyDescent="0.25">
      <c r="A14" s="8" t="s">
        <v>27</v>
      </c>
      <c r="B14" s="8"/>
      <c r="C14" s="8"/>
      <c r="D14" s="8"/>
      <c r="E14" s="8"/>
      <c r="F14" s="8"/>
      <c r="G14" s="8"/>
      <c r="H14" s="8"/>
      <c r="I14" s="8"/>
    </row>
    <row r="15" spans="1:9" x14ac:dyDescent="0.25">
      <c r="A15" s="1">
        <v>2026</v>
      </c>
      <c r="B15" s="1">
        <v>0</v>
      </c>
      <c r="C15" s="1">
        <v>0</v>
      </c>
      <c r="D15" s="1">
        <v>0</v>
      </c>
      <c r="E15" s="1">
        <v>0</v>
      </c>
      <c r="F15" s="2">
        <v>0</v>
      </c>
      <c r="G15" s="1">
        <f t="shared" ref="G15:G21" si="1">INDEX(B15:F15,MATCH($B$3,$B$5:$F$5,0))</f>
        <v>0</v>
      </c>
      <c r="H15" s="1" t="s">
        <v>14</v>
      </c>
      <c r="I15" s="1" t="s">
        <v>28</v>
      </c>
    </row>
    <row r="16" spans="1:9" x14ac:dyDescent="0.25">
      <c r="A16" s="1">
        <v>2027</v>
      </c>
      <c r="B16" s="1">
        <v>1</v>
      </c>
      <c r="C16" s="1">
        <v>1</v>
      </c>
      <c r="D16" s="1">
        <v>2</v>
      </c>
      <c r="E16" s="1">
        <v>0</v>
      </c>
      <c r="F16" s="2">
        <v>1</v>
      </c>
      <c r="G16" s="1">
        <f t="shared" si="1"/>
        <v>1</v>
      </c>
      <c r="H16" s="1" t="s">
        <v>14</v>
      </c>
      <c r="I16" s="1"/>
    </row>
    <row r="17" spans="1:9" x14ac:dyDescent="0.25">
      <c r="A17" s="1">
        <v>2028</v>
      </c>
      <c r="B17" s="1">
        <v>6</v>
      </c>
      <c r="C17" s="1">
        <v>6</v>
      </c>
      <c r="D17" s="1">
        <v>8</v>
      </c>
      <c r="E17" s="1">
        <v>2</v>
      </c>
      <c r="F17" s="2">
        <v>6</v>
      </c>
      <c r="G17" s="1">
        <f t="shared" si="1"/>
        <v>6</v>
      </c>
      <c r="H17" s="1" t="s">
        <v>14</v>
      </c>
      <c r="I17" s="1"/>
    </row>
    <row r="18" spans="1:9" x14ac:dyDescent="0.25">
      <c r="A18" s="1">
        <v>2029</v>
      </c>
      <c r="B18" s="1">
        <v>7</v>
      </c>
      <c r="C18" s="1">
        <v>7</v>
      </c>
      <c r="D18" s="1">
        <v>10</v>
      </c>
      <c r="E18" s="1">
        <v>5</v>
      </c>
      <c r="F18" s="2">
        <v>7</v>
      </c>
      <c r="G18" s="1">
        <f t="shared" si="1"/>
        <v>7</v>
      </c>
      <c r="H18" s="1" t="s">
        <v>14</v>
      </c>
      <c r="I18" s="1"/>
    </row>
    <row r="19" spans="1:9" x14ac:dyDescent="0.25">
      <c r="A19" s="1">
        <v>2030</v>
      </c>
      <c r="B19" s="1">
        <v>9</v>
      </c>
      <c r="C19" s="1">
        <v>9</v>
      </c>
      <c r="D19" s="1">
        <v>8</v>
      </c>
      <c r="E19" s="1">
        <v>7</v>
      </c>
      <c r="F19" s="2">
        <v>9</v>
      </c>
      <c r="G19" s="1">
        <f t="shared" si="1"/>
        <v>9</v>
      </c>
      <c r="H19" s="1" t="s">
        <v>14</v>
      </c>
      <c r="I19" s="1"/>
    </row>
    <row r="20" spans="1:9" x14ac:dyDescent="0.25">
      <c r="A20" s="1">
        <v>2031</v>
      </c>
      <c r="B20" s="1">
        <v>4</v>
      </c>
      <c r="C20" s="1">
        <v>4</v>
      </c>
      <c r="D20" s="1">
        <v>4</v>
      </c>
      <c r="E20" s="1">
        <v>6</v>
      </c>
      <c r="F20" s="2">
        <v>4</v>
      </c>
      <c r="G20" s="1">
        <f t="shared" si="1"/>
        <v>4</v>
      </c>
      <c r="H20" s="1" t="s">
        <v>14</v>
      </c>
      <c r="I20" s="1"/>
    </row>
    <row r="21" spans="1:9" x14ac:dyDescent="0.25">
      <c r="A21" s="1">
        <v>2032</v>
      </c>
      <c r="B21" s="1">
        <v>0</v>
      </c>
      <c r="C21" s="1">
        <v>0</v>
      </c>
      <c r="D21" s="1">
        <v>0</v>
      </c>
      <c r="E21" s="1">
        <v>5</v>
      </c>
      <c r="F21" s="2">
        <v>0</v>
      </c>
      <c r="G21" s="1">
        <f t="shared" si="1"/>
        <v>0</v>
      </c>
      <c r="H21" s="1" t="s">
        <v>14</v>
      </c>
      <c r="I21" s="1"/>
    </row>
    <row r="22" spans="1:9" x14ac:dyDescent="0.25">
      <c r="A22" s="1" t="s">
        <v>29</v>
      </c>
      <c r="B22" s="1">
        <f t="shared" ref="B22:G22" si="2">SUM(B15:B21)</f>
        <v>27</v>
      </c>
      <c r="C22" s="1">
        <f t="shared" si="2"/>
        <v>27</v>
      </c>
      <c r="D22" s="1">
        <f t="shared" si="2"/>
        <v>32</v>
      </c>
      <c r="E22" s="1">
        <f t="shared" si="2"/>
        <v>25</v>
      </c>
      <c r="F22" s="1">
        <f t="shared" si="2"/>
        <v>27</v>
      </c>
      <c r="G22" s="3">
        <f t="shared" si="2"/>
        <v>27</v>
      </c>
      <c r="H22" s="1" t="s">
        <v>14</v>
      </c>
      <c r="I22" s="1" t="s">
        <v>30</v>
      </c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s="6" customFormat="1" x14ac:dyDescent="0.25">
      <c r="A24" s="8" t="s">
        <v>31</v>
      </c>
      <c r="B24" s="8"/>
      <c r="C24" s="8"/>
      <c r="D24" s="8"/>
      <c r="E24" s="8"/>
      <c r="F24" s="8"/>
      <c r="G24" s="8"/>
      <c r="H24" s="8"/>
      <c r="I24" s="8"/>
    </row>
    <row r="25" spans="1:9" x14ac:dyDescent="0.25">
      <c r="A25" s="1" t="s">
        <v>32</v>
      </c>
      <c r="B25" s="1">
        <v>5000</v>
      </c>
      <c r="C25" s="1">
        <v>5500</v>
      </c>
      <c r="D25" s="1">
        <v>6500</v>
      </c>
      <c r="E25" s="1">
        <v>7500</v>
      </c>
      <c r="F25" s="2">
        <v>6500</v>
      </c>
      <c r="G25" s="1">
        <f>INDEX(B25:F25,MATCH($B$3,$B$5:$F$5,0))</f>
        <v>5000</v>
      </c>
      <c r="H25" s="1" t="s">
        <v>33</v>
      </c>
      <c r="I25" s="1" t="s">
        <v>34</v>
      </c>
    </row>
    <row r="26" spans="1:9" x14ac:dyDescent="0.25">
      <c r="A26" s="1" t="s">
        <v>35</v>
      </c>
      <c r="B26" s="1">
        <v>5500</v>
      </c>
      <c r="C26" s="1">
        <v>6000</v>
      </c>
      <c r="D26" s="1">
        <v>0</v>
      </c>
      <c r="E26" s="1">
        <v>0</v>
      </c>
      <c r="F26" s="2">
        <v>5500</v>
      </c>
      <c r="G26" s="1">
        <f>INDEX(B26:F26,MATCH($B$3,$B$5:$F$5,0))</f>
        <v>5500</v>
      </c>
      <c r="H26" s="1" t="s">
        <v>33</v>
      </c>
      <c r="I26" s="1" t="s">
        <v>36</v>
      </c>
    </row>
    <row r="27" spans="1:9" x14ac:dyDescent="0.25">
      <c r="A27" s="1" t="s">
        <v>37</v>
      </c>
      <c r="B27" s="1">
        <v>6000</v>
      </c>
      <c r="C27" s="1">
        <v>6500</v>
      </c>
      <c r="D27" s="1">
        <v>0</v>
      </c>
      <c r="E27" s="1">
        <v>0</v>
      </c>
      <c r="F27" s="2">
        <v>6000</v>
      </c>
      <c r="G27" s="1">
        <f>INDEX(B27:F27,MATCH($B$3,$B$5:$F$5,0))</f>
        <v>6000</v>
      </c>
      <c r="H27" s="1" t="s">
        <v>33</v>
      </c>
      <c r="I27" s="1" t="s">
        <v>38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s="6" customFormat="1" x14ac:dyDescent="0.25">
      <c r="A29" s="8" t="s">
        <v>39</v>
      </c>
      <c r="B29" s="8"/>
      <c r="C29" s="8"/>
      <c r="D29" s="8"/>
      <c r="E29" s="8"/>
      <c r="F29" s="8"/>
      <c r="G29" s="8"/>
      <c r="H29" s="8"/>
      <c r="I29" s="8"/>
    </row>
    <row r="30" spans="1:9" x14ac:dyDescent="0.25">
      <c r="A30" s="1" t="s">
        <v>40</v>
      </c>
      <c r="B30" s="1">
        <v>39974.699999999997</v>
      </c>
      <c r="C30" s="1">
        <v>39974.699999999997</v>
      </c>
      <c r="D30" s="1">
        <v>39974.699999999997</v>
      </c>
      <c r="E30" s="1">
        <v>39974.699999999997</v>
      </c>
      <c r="F30" s="2">
        <v>39974.699999999997</v>
      </c>
      <c r="G30" s="1">
        <f>INDEX(B30:F30,MATCH($B$3,$B$5:$F$5,0))</f>
        <v>39974.699999999997</v>
      </c>
      <c r="H30" s="1" t="s">
        <v>33</v>
      </c>
      <c r="I30" s="1" t="s">
        <v>41</v>
      </c>
    </row>
    <row r="31" spans="1:9" x14ac:dyDescent="0.25">
      <c r="A31" s="1" t="s">
        <v>42</v>
      </c>
      <c r="B31" s="1">
        <v>1</v>
      </c>
      <c r="C31" s="1">
        <v>1</v>
      </c>
      <c r="D31" s="1">
        <v>0.8</v>
      </c>
      <c r="E31" s="1">
        <v>0.6</v>
      </c>
      <c r="F31" s="2">
        <v>1</v>
      </c>
      <c r="G31" s="1">
        <f>INDEX(B31:F31,MATCH($B$3,$B$5:$F$5,0))</f>
        <v>1</v>
      </c>
      <c r="H31" s="1" t="s">
        <v>43</v>
      </c>
      <c r="I31" s="1" t="s">
        <v>44</v>
      </c>
    </row>
    <row r="32" spans="1:9" x14ac:dyDescent="0.25">
      <c r="A32" s="1" t="s">
        <v>45</v>
      </c>
      <c r="B32" s="1">
        <v>2937</v>
      </c>
      <c r="C32" s="1">
        <v>2937</v>
      </c>
      <c r="D32" s="1">
        <v>2937</v>
      </c>
      <c r="E32" s="1">
        <v>2937</v>
      </c>
      <c r="F32" s="2">
        <v>2937</v>
      </c>
      <c r="G32" s="1">
        <f>INDEX(B32:F32,MATCH($B$3,$B$5:$F$5,0))</f>
        <v>2937</v>
      </c>
      <c r="H32" s="1" t="s">
        <v>33</v>
      </c>
      <c r="I32" s="1" t="s">
        <v>46</v>
      </c>
    </row>
    <row r="33" spans="1:9" x14ac:dyDescent="0.25">
      <c r="A33" s="1" t="s">
        <v>47</v>
      </c>
      <c r="B33" s="1">
        <v>3514</v>
      </c>
      <c r="C33" s="1">
        <v>3514</v>
      </c>
      <c r="D33" s="1">
        <v>3514</v>
      </c>
      <c r="E33" s="1">
        <v>3514</v>
      </c>
      <c r="F33" s="2">
        <v>3514</v>
      </c>
      <c r="G33" s="1">
        <f>INDEX(B33:F33,MATCH($B$3,$B$5:$F$5,0))</f>
        <v>3514</v>
      </c>
      <c r="H33" s="1" t="s">
        <v>33</v>
      </c>
      <c r="I33" s="1" t="s">
        <v>48</v>
      </c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s="6" customFormat="1" x14ac:dyDescent="0.25">
      <c r="A35" s="8" t="s">
        <v>49</v>
      </c>
      <c r="B35" s="8"/>
      <c r="C35" s="8"/>
      <c r="D35" s="8"/>
      <c r="E35" s="8"/>
      <c r="F35" s="8"/>
      <c r="G35" s="8"/>
      <c r="H35" s="8"/>
      <c r="I35" s="8"/>
    </row>
    <row r="36" spans="1:9" x14ac:dyDescent="0.25">
      <c r="A36" s="1" t="s">
        <v>50</v>
      </c>
      <c r="B36" s="1">
        <v>60</v>
      </c>
      <c r="C36" s="1">
        <v>60</v>
      </c>
      <c r="D36" s="1">
        <v>60</v>
      </c>
      <c r="E36" s="1">
        <v>60</v>
      </c>
      <c r="F36" s="2">
        <v>60</v>
      </c>
      <c r="G36" s="1">
        <f t="shared" ref="G36:G44" si="3">INDEX(B36:F36,MATCH($B$3,$B$5:$F$5,0))</f>
        <v>60</v>
      </c>
      <c r="H36" s="1" t="s">
        <v>33</v>
      </c>
      <c r="I36" s="1" t="s">
        <v>51</v>
      </c>
    </row>
    <row r="37" spans="1:9" x14ac:dyDescent="0.25">
      <c r="A37" s="1" t="s">
        <v>206</v>
      </c>
      <c r="B37" s="1">
        <v>30</v>
      </c>
      <c r="C37" s="1">
        <v>30</v>
      </c>
      <c r="D37" s="1">
        <v>30</v>
      </c>
      <c r="E37" s="1">
        <v>30</v>
      </c>
      <c r="F37" s="2">
        <v>30</v>
      </c>
      <c r="G37" s="1">
        <f t="shared" si="3"/>
        <v>30</v>
      </c>
      <c r="H37" s="1" t="s">
        <v>207</v>
      </c>
      <c r="I37" s="1" t="s">
        <v>208</v>
      </c>
    </row>
    <row r="38" spans="1:9" x14ac:dyDescent="0.25">
      <c r="A38" s="1" t="s">
        <v>52</v>
      </c>
      <c r="B38" s="1">
        <v>18.41</v>
      </c>
      <c r="C38" s="1">
        <v>18.41</v>
      </c>
      <c r="D38" s="1">
        <v>18.41</v>
      </c>
      <c r="E38" s="1">
        <v>18.41</v>
      </c>
      <c r="F38" s="2">
        <v>18.41</v>
      </c>
      <c r="G38" s="1">
        <f t="shared" si="3"/>
        <v>18.41</v>
      </c>
      <c r="H38" s="1" t="s">
        <v>53</v>
      </c>
      <c r="I38" s="1" t="s">
        <v>54</v>
      </c>
    </row>
    <row r="39" spans="1:9" x14ac:dyDescent="0.25">
      <c r="A39" s="1" t="s">
        <v>55</v>
      </c>
      <c r="B39" s="1">
        <v>300</v>
      </c>
      <c r="C39" s="1">
        <v>300</v>
      </c>
      <c r="D39" s="1">
        <v>300</v>
      </c>
      <c r="E39" s="1">
        <v>300</v>
      </c>
      <c r="F39" s="2">
        <v>300</v>
      </c>
      <c r="G39" s="1">
        <f t="shared" si="3"/>
        <v>300</v>
      </c>
      <c r="H39" s="1" t="s">
        <v>33</v>
      </c>
      <c r="I39" s="1" t="s">
        <v>56</v>
      </c>
    </row>
    <row r="40" spans="1:9" x14ac:dyDescent="0.25">
      <c r="A40" s="1" t="s">
        <v>57</v>
      </c>
      <c r="B40" s="1">
        <v>30</v>
      </c>
      <c r="C40" s="1">
        <v>30</v>
      </c>
      <c r="D40" s="1">
        <v>30</v>
      </c>
      <c r="E40" s="1">
        <v>30</v>
      </c>
      <c r="F40" s="2">
        <v>30</v>
      </c>
      <c r="G40" s="1">
        <f t="shared" si="3"/>
        <v>30</v>
      </c>
      <c r="H40" s="1" t="s">
        <v>14</v>
      </c>
      <c r="I40" s="1" t="s">
        <v>58</v>
      </c>
    </row>
    <row r="41" spans="1:9" x14ac:dyDescent="0.25">
      <c r="A41" s="1" t="s">
        <v>59</v>
      </c>
      <c r="B41" s="1">
        <v>0.2</v>
      </c>
      <c r="C41" s="1">
        <v>0.2</v>
      </c>
      <c r="D41" s="1">
        <v>0.2</v>
      </c>
      <c r="E41" s="1">
        <v>0.2</v>
      </c>
      <c r="F41" s="2">
        <v>0.2</v>
      </c>
      <c r="G41" s="1">
        <f t="shared" si="3"/>
        <v>0.2</v>
      </c>
      <c r="H41" s="1" t="s">
        <v>43</v>
      </c>
      <c r="I41" s="1" t="s">
        <v>60</v>
      </c>
    </row>
    <row r="42" spans="1:9" x14ac:dyDescent="0.25">
      <c r="A42" s="1" t="s">
        <v>61</v>
      </c>
      <c r="B42" s="1">
        <v>2000</v>
      </c>
      <c r="C42" s="1">
        <v>2000</v>
      </c>
      <c r="D42" s="1">
        <v>2000</v>
      </c>
      <c r="E42" s="1">
        <v>2000</v>
      </c>
      <c r="F42" s="2">
        <v>2000</v>
      </c>
      <c r="G42" s="1">
        <f t="shared" si="3"/>
        <v>2000</v>
      </c>
      <c r="H42" s="1" t="s">
        <v>33</v>
      </c>
      <c r="I42" s="1" t="s">
        <v>62</v>
      </c>
    </row>
    <row r="43" spans="1:9" x14ac:dyDescent="0.25">
      <c r="A43" s="1" t="s">
        <v>63</v>
      </c>
      <c r="B43" s="1">
        <v>295</v>
      </c>
      <c r="C43" s="1">
        <v>295</v>
      </c>
      <c r="D43" s="1">
        <v>295</v>
      </c>
      <c r="E43" s="1">
        <v>295</v>
      </c>
      <c r="F43" s="2">
        <v>295</v>
      </c>
      <c r="G43" s="1">
        <f t="shared" si="3"/>
        <v>295</v>
      </c>
      <c r="H43" s="1" t="s">
        <v>33</v>
      </c>
      <c r="I43" s="1" t="s">
        <v>62</v>
      </c>
    </row>
    <row r="44" spans="1:9" x14ac:dyDescent="0.25">
      <c r="A44" s="1" t="s">
        <v>64</v>
      </c>
      <c r="B44" s="1">
        <v>3750</v>
      </c>
      <c r="C44" s="1">
        <v>3750</v>
      </c>
      <c r="D44" s="1">
        <v>3750</v>
      </c>
      <c r="E44" s="1">
        <v>3750</v>
      </c>
      <c r="F44" s="2">
        <v>3750</v>
      </c>
      <c r="G44" s="1">
        <f t="shared" si="3"/>
        <v>3750</v>
      </c>
      <c r="H44" s="1" t="s">
        <v>33</v>
      </c>
      <c r="I44" s="1" t="s">
        <v>65</v>
      </c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s="6" customFormat="1" x14ac:dyDescent="0.25">
      <c r="A46" s="8" t="s">
        <v>66</v>
      </c>
      <c r="B46" s="8"/>
      <c r="C46" s="8"/>
      <c r="D46" s="8"/>
      <c r="E46" s="8"/>
      <c r="F46" s="8"/>
      <c r="G46" s="8"/>
      <c r="H46" s="8"/>
      <c r="I46" s="8"/>
    </row>
    <row r="47" spans="1:9" x14ac:dyDescent="0.25">
      <c r="A47" s="1" t="s">
        <v>67</v>
      </c>
      <c r="B47" s="1">
        <v>5.42669E-2</v>
      </c>
      <c r="C47" s="1">
        <v>5.42669E-2</v>
      </c>
      <c r="D47" s="1">
        <v>5.42669E-2</v>
      </c>
      <c r="E47" s="1">
        <v>5.42669E-2</v>
      </c>
      <c r="F47" s="2">
        <v>5.42669E-2</v>
      </c>
      <c r="G47" s="1">
        <f>INDEX(B47:F47,MATCH($B$3,$B$5:$F$5,0))</f>
        <v>5.42669E-2</v>
      </c>
      <c r="H47" s="1" t="s">
        <v>68</v>
      </c>
      <c r="I47" s="1" t="s">
        <v>69</v>
      </c>
    </row>
    <row r="48" spans="1:9" x14ac:dyDescent="0.25">
      <c r="A48" s="1" t="s">
        <v>70</v>
      </c>
      <c r="B48" s="1">
        <v>4.2932669999999999E-2</v>
      </c>
      <c r="C48" s="1">
        <v>4.2932669999999999E-2</v>
      </c>
      <c r="D48" s="1">
        <v>4.2932669999999999E-2</v>
      </c>
      <c r="E48" s="1">
        <v>4.2932669999999999E-2</v>
      </c>
      <c r="F48" s="2">
        <v>4.2932669999999999E-2</v>
      </c>
      <c r="G48" s="1">
        <f>INDEX(B48:F48,MATCH($B$3,$B$5:$F$5,0))</f>
        <v>4.2932669999999999E-2</v>
      </c>
      <c r="H48" s="1" t="s">
        <v>68</v>
      </c>
      <c r="I48" s="1" t="s">
        <v>71</v>
      </c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s="6" customFormat="1" x14ac:dyDescent="0.25">
      <c r="A50" s="8" t="s">
        <v>72</v>
      </c>
      <c r="B50" s="8"/>
      <c r="C50" s="8"/>
      <c r="D50" s="8"/>
      <c r="E50" s="8"/>
      <c r="F50" s="8"/>
      <c r="G50" s="8"/>
      <c r="H50" s="8"/>
      <c r="I50" s="8"/>
    </row>
    <row r="51" spans="1:9" x14ac:dyDescent="0.25">
      <c r="A51" s="1" t="s">
        <v>73</v>
      </c>
      <c r="B51" s="1">
        <v>1200</v>
      </c>
      <c r="C51" s="1">
        <v>1400</v>
      </c>
      <c r="D51" s="1">
        <v>1800</v>
      </c>
      <c r="E51" s="1">
        <v>3200</v>
      </c>
      <c r="F51" s="2">
        <v>1800</v>
      </c>
      <c r="G51" s="1">
        <f>INDEX(B51:F51,MATCH($B$3,$B$5:$F$5,0))</f>
        <v>1200</v>
      </c>
      <c r="H51" s="1" t="s">
        <v>33</v>
      </c>
      <c r="I51" s="1" t="s">
        <v>74</v>
      </c>
    </row>
    <row r="52" spans="1:9" x14ac:dyDescent="0.25">
      <c r="A52" s="1" t="s">
        <v>75</v>
      </c>
      <c r="B52" s="1">
        <v>7.0000000000000007E-2</v>
      </c>
      <c r="C52" s="1">
        <v>0.06</v>
      </c>
      <c r="D52" s="1">
        <v>0.06</v>
      </c>
      <c r="E52" s="1">
        <v>0.05</v>
      </c>
      <c r="F52" s="2">
        <v>0.05</v>
      </c>
      <c r="G52" s="1">
        <f>INDEX(B52:F52,MATCH($B$3,$B$5:$F$5,0))</f>
        <v>7.0000000000000007E-2</v>
      </c>
      <c r="H52" s="1" t="s">
        <v>76</v>
      </c>
      <c r="I52" s="1" t="s">
        <v>77</v>
      </c>
    </row>
    <row r="53" spans="1:9" x14ac:dyDescent="0.25">
      <c r="A53" s="1" t="s">
        <v>78</v>
      </c>
      <c r="B53" s="1">
        <v>500</v>
      </c>
      <c r="C53" s="1">
        <v>250</v>
      </c>
      <c r="D53" s="1">
        <v>250</v>
      </c>
      <c r="E53" s="1">
        <v>0</v>
      </c>
      <c r="F53" s="2">
        <v>250</v>
      </c>
      <c r="G53" s="1">
        <f>INDEX(B53:F53,MATCH($B$3,$B$5:$F$5,0))</f>
        <v>500</v>
      </c>
      <c r="H53" s="1" t="s">
        <v>79</v>
      </c>
      <c r="I53" s="1" t="s">
        <v>80</v>
      </c>
    </row>
    <row r="54" spans="1:9" x14ac:dyDescent="0.25">
      <c r="A54" s="1" t="s">
        <v>81</v>
      </c>
      <c r="B54" s="1">
        <v>0.6</v>
      </c>
      <c r="C54" s="1">
        <v>0.6</v>
      </c>
      <c r="D54" s="1">
        <v>0.6</v>
      </c>
      <c r="E54" s="1">
        <v>0.8</v>
      </c>
      <c r="F54" s="2">
        <v>0.6</v>
      </c>
      <c r="G54" s="1">
        <f>INDEX(B54:F54,MATCH($B$3,$B$5:$F$5,0))</f>
        <v>0.6</v>
      </c>
      <c r="H54" s="1" t="s">
        <v>43</v>
      </c>
      <c r="I54" s="1" t="s">
        <v>82</v>
      </c>
    </row>
    <row r="55" spans="1:9" x14ac:dyDescent="0.25">
      <c r="A55" s="1" t="s">
        <v>83</v>
      </c>
      <c r="B55" s="1">
        <v>33500</v>
      </c>
      <c r="C55" s="1">
        <v>44000</v>
      </c>
      <c r="D55" s="1">
        <v>58000</v>
      </c>
      <c r="E55" s="1">
        <v>80000</v>
      </c>
      <c r="F55" s="2">
        <v>44000</v>
      </c>
      <c r="G55" s="1">
        <f>INDEX(B55:F55,MATCH($B$3,$B$5:$F$5,0))</f>
        <v>33500</v>
      </c>
      <c r="H55" s="1" t="s">
        <v>33</v>
      </c>
      <c r="I55" s="1" t="s">
        <v>84</v>
      </c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s="6" customFormat="1" x14ac:dyDescent="0.25">
      <c r="A57" s="8" t="s">
        <v>85</v>
      </c>
      <c r="B57" s="8"/>
      <c r="C57" s="8"/>
      <c r="D57" s="8"/>
      <c r="E57" s="8"/>
      <c r="F57" s="8"/>
      <c r="G57" s="8"/>
      <c r="H57" s="8"/>
      <c r="I57" s="8"/>
    </row>
    <row r="58" spans="1:9" x14ac:dyDescent="0.25">
      <c r="A58" s="1" t="s">
        <v>86</v>
      </c>
      <c r="B58" s="1">
        <v>10000</v>
      </c>
      <c r="C58" s="1">
        <v>10000</v>
      </c>
      <c r="D58" s="1">
        <v>10000</v>
      </c>
      <c r="E58" s="1">
        <v>10000</v>
      </c>
      <c r="F58" s="2">
        <v>10000</v>
      </c>
      <c r="G58" s="1">
        <f>INDEX(B58:F58,MATCH($B$3,$B$5:$F$5,0))</f>
        <v>10000</v>
      </c>
      <c r="H58" s="1" t="s">
        <v>33</v>
      </c>
      <c r="I58" s="1" t="s">
        <v>87</v>
      </c>
    </row>
    <row r="59" spans="1:9" x14ac:dyDescent="0.25">
      <c r="A59" s="1" t="s">
        <v>88</v>
      </c>
      <c r="B59" s="1">
        <v>10000</v>
      </c>
      <c r="C59" s="1">
        <v>10000</v>
      </c>
      <c r="D59" s="1">
        <v>10000</v>
      </c>
      <c r="E59" s="1">
        <v>10000</v>
      </c>
      <c r="F59" s="2">
        <v>10000</v>
      </c>
      <c r="G59" s="1">
        <f>INDEX(B59:F59,MATCH($B$3,$B$5:$F$5,0))</f>
        <v>10000</v>
      </c>
      <c r="H59" s="1" t="s">
        <v>33</v>
      </c>
      <c r="I59" s="1" t="s">
        <v>89</v>
      </c>
    </row>
    <row r="60" spans="1:9" x14ac:dyDescent="0.25">
      <c r="A60" s="1" t="s">
        <v>90</v>
      </c>
      <c r="B60" s="1">
        <v>5000</v>
      </c>
      <c r="C60" s="1">
        <v>5000</v>
      </c>
      <c r="D60" s="1">
        <v>5000</v>
      </c>
      <c r="E60" s="1">
        <v>5000</v>
      </c>
      <c r="F60" s="2">
        <v>5000</v>
      </c>
      <c r="G60" s="1">
        <f>INDEX(B60:F60,MATCH($B$3,$B$5:$F$5,0))</f>
        <v>5000</v>
      </c>
      <c r="H60" s="1" t="s">
        <v>33</v>
      </c>
      <c r="I60" s="1" t="s">
        <v>91</v>
      </c>
    </row>
    <row r="61" spans="1:9" x14ac:dyDescent="0.25">
      <c r="A61" s="1" t="s">
        <v>92</v>
      </c>
      <c r="B61" s="1">
        <v>2500</v>
      </c>
      <c r="C61" s="1">
        <v>2500</v>
      </c>
      <c r="D61" s="1">
        <v>2500</v>
      </c>
      <c r="E61" s="1">
        <v>2500</v>
      </c>
      <c r="F61" s="2">
        <v>2500</v>
      </c>
      <c r="G61" s="1">
        <f>INDEX(B61:F61,MATCH($B$3,$B$5:$F$5,0))</f>
        <v>2500</v>
      </c>
      <c r="H61" s="1" t="s">
        <v>33</v>
      </c>
      <c r="I61" s="1" t="s">
        <v>93</v>
      </c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s="6" customFormat="1" x14ac:dyDescent="0.25">
      <c r="A63" s="8" t="s">
        <v>94</v>
      </c>
      <c r="B63" s="8"/>
      <c r="C63" s="8"/>
      <c r="D63" s="8"/>
      <c r="E63" s="8"/>
      <c r="F63" s="8"/>
      <c r="G63" s="8"/>
      <c r="H63" s="8"/>
      <c r="I63" s="8"/>
    </row>
    <row r="64" spans="1:9" x14ac:dyDescent="0.25">
      <c r="A64" s="1" t="s">
        <v>95</v>
      </c>
      <c r="B64" s="1">
        <v>30835</v>
      </c>
      <c r="C64" s="1">
        <v>30835</v>
      </c>
      <c r="D64" s="1">
        <v>30835</v>
      </c>
      <c r="E64" s="1">
        <v>30835</v>
      </c>
      <c r="F64" s="2">
        <v>30835</v>
      </c>
      <c r="G64" s="1">
        <f>INDEX(B64:F64,MATCH($B$3,$B$5:$F$5,0))</f>
        <v>30835</v>
      </c>
      <c r="H64" s="1" t="s">
        <v>33</v>
      </c>
      <c r="I64" s="1" t="s">
        <v>96</v>
      </c>
    </row>
    <row r="65" spans="1:9" x14ac:dyDescent="0.25">
      <c r="A65" s="1" t="s">
        <v>97</v>
      </c>
      <c r="B65" s="1" t="s">
        <v>98</v>
      </c>
      <c r="C65" s="1" t="s">
        <v>98</v>
      </c>
      <c r="D65" s="1" t="s">
        <v>99</v>
      </c>
      <c r="E65" s="1" t="s">
        <v>99</v>
      </c>
      <c r="F65" s="2" t="s">
        <v>98</v>
      </c>
      <c r="G65" s="1" t="str">
        <f>INDEX(B65:F65,MATCH($B$3,$B$5:$F$5,0))</f>
        <v>Sales-funded</v>
      </c>
      <c r="H65" s="1" t="s">
        <v>100</v>
      </c>
      <c r="I65" s="1" t="s">
        <v>101</v>
      </c>
    </row>
    <row r="66" spans="1:9" x14ac:dyDescent="0.25">
      <c r="A66" s="1" t="s">
        <v>102</v>
      </c>
      <c r="B66" s="1">
        <v>7.4999999999999997E-2</v>
      </c>
      <c r="C66" s="1">
        <v>7.4999999999999997E-2</v>
      </c>
      <c r="D66" s="1">
        <v>7.4999999999999997E-2</v>
      </c>
      <c r="E66" s="1">
        <v>7.4999999999999997E-2</v>
      </c>
      <c r="F66" s="2">
        <v>7.4999999999999997E-2</v>
      </c>
      <c r="G66" s="1">
        <f>INDEX(B66:F66,MATCH($B$3,$B$5:$F$5,0))</f>
        <v>7.4999999999999997E-2</v>
      </c>
      <c r="H66" s="1" t="s">
        <v>76</v>
      </c>
      <c r="I66" s="1" t="s">
        <v>103</v>
      </c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s="6" customFormat="1" x14ac:dyDescent="0.25">
      <c r="A68" s="8" t="s">
        <v>104</v>
      </c>
      <c r="B68" s="8"/>
      <c r="C68" s="8"/>
      <c r="D68" s="8"/>
      <c r="E68" s="8"/>
      <c r="F68" s="8"/>
      <c r="G68" s="8"/>
      <c r="H68" s="8"/>
      <c r="I68" s="8"/>
    </row>
    <row r="69" spans="1:9" x14ac:dyDescent="0.25">
      <c r="A69" s="1" t="s">
        <v>105</v>
      </c>
      <c r="B69" s="1">
        <v>1</v>
      </c>
      <c r="C69" s="1">
        <v>0.8</v>
      </c>
      <c r="D69" s="1">
        <v>0.8</v>
      </c>
      <c r="E69" s="1">
        <v>0.8</v>
      </c>
      <c r="F69" s="2">
        <v>0.8</v>
      </c>
      <c r="G69" s="1">
        <f>INDEX(B69:F69,MATCH($B$3,$B$5:$F$5,0))</f>
        <v>1</v>
      </c>
      <c r="H69" s="1" t="s">
        <v>43</v>
      </c>
      <c r="I69" s="1" t="s">
        <v>106</v>
      </c>
    </row>
    <row r="70" spans="1:9" x14ac:dyDescent="0.25">
      <c r="A70" s="1" t="s">
        <v>107</v>
      </c>
      <c r="B70" s="1">
        <v>3</v>
      </c>
      <c r="C70" s="1">
        <v>3</v>
      </c>
      <c r="D70" s="1">
        <v>3</v>
      </c>
      <c r="E70" s="1">
        <v>3</v>
      </c>
      <c r="F70" s="2">
        <v>3</v>
      </c>
      <c r="G70" s="1">
        <f>INDEX(B70:F70,MATCH($B$3,$B$5:$F$5,0))</f>
        <v>3</v>
      </c>
      <c r="H70" s="1" t="s">
        <v>43</v>
      </c>
      <c r="I70" s="1" t="s">
        <v>108</v>
      </c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s="6" customFormat="1" x14ac:dyDescent="0.25">
      <c r="A72" s="8" t="s">
        <v>109</v>
      </c>
      <c r="B72" s="8"/>
      <c r="C72" s="8"/>
      <c r="D72" s="8"/>
      <c r="E72" s="8"/>
      <c r="F72" s="8"/>
      <c r="G72" s="8"/>
      <c r="H72" s="8"/>
      <c r="I72" s="8"/>
    </row>
    <row r="73" spans="1:9" x14ac:dyDescent="0.25">
      <c r="A73" s="1" t="s">
        <v>110</v>
      </c>
      <c r="B73" s="1">
        <v>42</v>
      </c>
      <c r="C73" s="1">
        <v>42</v>
      </c>
      <c r="D73" s="1">
        <v>32</v>
      </c>
      <c r="E73" s="1">
        <v>25</v>
      </c>
      <c r="F73" s="2">
        <v>42</v>
      </c>
      <c r="G73" s="1">
        <f t="shared" ref="G73:G79" si="4">INDEX(B73:F73,MATCH($B$3,$B$5:$F$5,0))</f>
        <v>42</v>
      </c>
      <c r="H73" s="1" t="s">
        <v>111</v>
      </c>
      <c r="I73" s="1" t="s">
        <v>112</v>
      </c>
    </row>
    <row r="74" spans="1:9" x14ac:dyDescent="0.25">
      <c r="A74" s="1" t="s">
        <v>113</v>
      </c>
      <c r="B74" s="1">
        <v>50</v>
      </c>
      <c r="C74" s="1">
        <v>50</v>
      </c>
      <c r="D74" s="1">
        <v>50</v>
      </c>
      <c r="E74" s="1">
        <v>50</v>
      </c>
      <c r="F74" s="2">
        <v>50</v>
      </c>
      <c r="G74" s="1">
        <f t="shared" si="4"/>
        <v>50</v>
      </c>
      <c r="H74" s="1" t="s">
        <v>111</v>
      </c>
      <c r="I74" s="1" t="s">
        <v>114</v>
      </c>
    </row>
    <row r="75" spans="1:9" x14ac:dyDescent="0.25">
      <c r="A75" s="1" t="s">
        <v>115</v>
      </c>
      <c r="B75" s="1">
        <v>25</v>
      </c>
      <c r="C75" s="1">
        <v>25</v>
      </c>
      <c r="D75" s="1">
        <v>25</v>
      </c>
      <c r="E75" s="1">
        <v>30</v>
      </c>
      <c r="F75" s="2">
        <v>25</v>
      </c>
      <c r="G75" s="1">
        <f t="shared" si="4"/>
        <v>25</v>
      </c>
      <c r="H75" s="1" t="s">
        <v>79</v>
      </c>
      <c r="I75" s="1" t="s">
        <v>116</v>
      </c>
    </row>
    <row r="76" spans="1:9" x14ac:dyDescent="0.25">
      <c r="A76" s="1" t="s">
        <v>117</v>
      </c>
      <c r="B76" s="1">
        <v>15</v>
      </c>
      <c r="C76" s="1">
        <v>15</v>
      </c>
      <c r="D76" s="1">
        <v>15</v>
      </c>
      <c r="E76" s="1">
        <v>18</v>
      </c>
      <c r="F76" s="2">
        <v>15</v>
      </c>
      <c r="G76" s="1">
        <f t="shared" si="4"/>
        <v>15</v>
      </c>
      <c r="H76" s="1" t="s">
        <v>79</v>
      </c>
      <c r="I76" s="1" t="s">
        <v>118</v>
      </c>
    </row>
    <row r="77" spans="1:9" x14ac:dyDescent="0.25">
      <c r="A77" s="1" t="s">
        <v>119</v>
      </c>
      <c r="B77" s="1">
        <v>100</v>
      </c>
      <c r="C77" s="1">
        <v>100</v>
      </c>
      <c r="D77" s="1">
        <v>100</v>
      </c>
      <c r="E77" s="1">
        <v>125</v>
      </c>
      <c r="F77" s="2">
        <v>100</v>
      </c>
      <c r="G77" s="1">
        <f t="shared" si="4"/>
        <v>100</v>
      </c>
      <c r="H77" s="1" t="s">
        <v>33</v>
      </c>
      <c r="I77" s="1" t="s">
        <v>120</v>
      </c>
    </row>
    <row r="78" spans="1:9" x14ac:dyDescent="0.25">
      <c r="A78" s="1" t="s">
        <v>121</v>
      </c>
      <c r="B78" s="1">
        <v>125</v>
      </c>
      <c r="C78" s="1">
        <v>125</v>
      </c>
      <c r="D78" s="1">
        <v>125</v>
      </c>
      <c r="E78" s="1">
        <v>150</v>
      </c>
      <c r="F78" s="2">
        <v>125</v>
      </c>
      <c r="G78" s="1">
        <f t="shared" si="4"/>
        <v>125</v>
      </c>
      <c r="H78" s="1" t="s">
        <v>33</v>
      </c>
      <c r="I78" s="1" t="s">
        <v>122</v>
      </c>
    </row>
    <row r="79" spans="1:9" x14ac:dyDescent="0.25">
      <c r="A79" s="1" t="s">
        <v>123</v>
      </c>
      <c r="B79" s="1">
        <v>1</v>
      </c>
      <c r="C79" s="1">
        <v>1</v>
      </c>
      <c r="D79" s="1">
        <v>0.6</v>
      </c>
      <c r="E79" s="1">
        <v>0.6</v>
      </c>
      <c r="F79" s="2">
        <v>0.6</v>
      </c>
      <c r="G79" s="1">
        <f t="shared" si="4"/>
        <v>1</v>
      </c>
      <c r="H79" s="1" t="s">
        <v>43</v>
      </c>
      <c r="I79" s="1" t="s">
        <v>124</v>
      </c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s="6" customFormat="1" ht="15.75" thickBot="1" x14ac:dyDescent="0.3">
      <c r="A81" s="8" t="s">
        <v>125</v>
      </c>
      <c r="B81" s="8"/>
      <c r="C81" s="8"/>
      <c r="D81" s="8"/>
      <c r="E81" s="8"/>
      <c r="F81" s="8"/>
      <c r="G81" s="8"/>
      <c r="H81" s="8"/>
      <c r="I81" s="8"/>
    </row>
    <row r="82" spans="1:9" ht="15.75" thickBot="1" x14ac:dyDescent="0.3">
      <c r="A82" s="1" t="s">
        <v>126</v>
      </c>
      <c r="B82" s="1">
        <v>1</v>
      </c>
      <c r="C82" s="1"/>
      <c r="D82" s="1"/>
      <c r="E82" s="1"/>
      <c r="F82" s="1"/>
      <c r="G82" s="9">
        <v>1</v>
      </c>
      <c r="H82" s="1" t="s">
        <v>43</v>
      </c>
      <c r="I82" s="1" t="s">
        <v>127</v>
      </c>
    </row>
    <row r="83" spans="1:9" ht="15.75" thickBot="1" x14ac:dyDescent="0.3">
      <c r="A83" s="1" t="s">
        <v>128</v>
      </c>
      <c r="B83" s="1">
        <v>1</v>
      </c>
      <c r="C83" s="1"/>
      <c r="D83" s="1"/>
      <c r="E83" s="1"/>
      <c r="F83" s="1"/>
      <c r="G83" s="9">
        <v>1</v>
      </c>
      <c r="H83" s="1" t="s">
        <v>43</v>
      </c>
      <c r="I83" s="1" t="s">
        <v>129</v>
      </c>
    </row>
    <row r="84" spans="1:9" ht="15.75" thickBot="1" x14ac:dyDescent="0.3">
      <c r="A84" s="1" t="s">
        <v>130</v>
      </c>
      <c r="B84" s="1">
        <v>1</v>
      </c>
      <c r="C84" s="1"/>
      <c r="D84" s="1"/>
      <c r="E84" s="1"/>
      <c r="F84" s="1"/>
      <c r="G84" s="9">
        <v>1</v>
      </c>
      <c r="H84" s="1" t="s">
        <v>43</v>
      </c>
      <c r="I84" s="1" t="s">
        <v>131</v>
      </c>
    </row>
    <row r="85" spans="1:9" ht="15.75" thickBot="1" x14ac:dyDescent="0.3">
      <c r="A85" s="1" t="s">
        <v>132</v>
      </c>
      <c r="B85" s="1">
        <v>0</v>
      </c>
      <c r="C85" s="1"/>
      <c r="D85" s="1"/>
      <c r="E85" s="1"/>
      <c r="F85" s="1"/>
      <c r="G85" s="9">
        <v>0</v>
      </c>
      <c r="H85" s="1" t="s">
        <v>133</v>
      </c>
      <c r="I85" s="1" t="s">
        <v>134</v>
      </c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s="6" customFormat="1" x14ac:dyDescent="0.25">
      <c r="A87" s="8" t="s">
        <v>166</v>
      </c>
      <c r="B87" s="8"/>
      <c r="C87" s="8"/>
      <c r="D87" s="8"/>
      <c r="E87" s="8"/>
      <c r="F87" s="8"/>
      <c r="G87" s="8"/>
      <c r="H87" s="8"/>
      <c r="I87" s="8"/>
    </row>
    <row r="88" spans="1:9" x14ac:dyDescent="0.25">
      <c r="A88" s="1" t="s">
        <v>167</v>
      </c>
      <c r="B88" s="1">
        <v>0.03</v>
      </c>
      <c r="C88" s="1">
        <v>0.03</v>
      </c>
      <c r="D88" s="1">
        <v>0.03</v>
      </c>
      <c r="E88" s="1">
        <v>0.03</v>
      </c>
      <c r="F88" s="2">
        <v>0.03</v>
      </c>
      <c r="G88" s="1">
        <f t="shared" ref="G88:G94" si="5">INDEX(B88:F88,MATCH($B$3,$B$5:$F$5,0))</f>
        <v>0.03</v>
      </c>
      <c r="H88" s="1" t="s">
        <v>76</v>
      </c>
      <c r="I88" s="1" t="s">
        <v>168</v>
      </c>
    </row>
    <row r="89" spans="1:9" x14ac:dyDescent="0.25">
      <c r="A89" s="1" t="s">
        <v>169</v>
      </c>
      <c r="B89" s="1">
        <v>365</v>
      </c>
      <c r="C89" s="1">
        <v>365</v>
      </c>
      <c r="D89" s="1">
        <v>365</v>
      </c>
      <c r="E89" s="1">
        <v>365</v>
      </c>
      <c r="F89" s="2">
        <v>365</v>
      </c>
      <c r="G89" s="1">
        <f t="shared" si="5"/>
        <v>365</v>
      </c>
      <c r="H89" s="1" t="s">
        <v>33</v>
      </c>
      <c r="I89" s="1" t="s">
        <v>170</v>
      </c>
    </row>
    <row r="90" spans="1:9" x14ac:dyDescent="0.25">
      <c r="A90" s="1" t="s">
        <v>171</v>
      </c>
      <c r="B90" s="1">
        <v>0.01</v>
      </c>
      <c r="C90" s="1">
        <v>0.01</v>
      </c>
      <c r="D90" s="1">
        <v>0.01</v>
      </c>
      <c r="E90" s="1">
        <v>0.01</v>
      </c>
      <c r="F90" s="2">
        <v>0.01</v>
      </c>
      <c r="G90" s="1">
        <f t="shared" si="5"/>
        <v>0.01</v>
      </c>
      <c r="H90" s="1" t="s">
        <v>43</v>
      </c>
      <c r="I90" s="1" t="s">
        <v>172</v>
      </c>
    </row>
    <row r="91" spans="1:9" x14ac:dyDescent="0.25">
      <c r="A91" s="1" t="s">
        <v>209</v>
      </c>
      <c r="B91" s="1">
        <v>0.5</v>
      </c>
      <c r="C91" s="1">
        <v>0.5</v>
      </c>
      <c r="D91" s="1">
        <v>0.5</v>
      </c>
      <c r="E91" s="1">
        <v>0.5</v>
      </c>
      <c r="F91" s="2">
        <v>0.5</v>
      </c>
      <c r="G91" s="1">
        <f t="shared" si="5"/>
        <v>0.5</v>
      </c>
      <c r="H91" s="1" t="s">
        <v>43</v>
      </c>
      <c r="I91" s="1" t="s">
        <v>210</v>
      </c>
    </row>
    <row r="92" spans="1:9" x14ac:dyDescent="0.25">
      <c r="A92" s="1" t="s">
        <v>258</v>
      </c>
      <c r="B92" s="1">
        <v>1000</v>
      </c>
      <c r="C92" s="1">
        <v>1000</v>
      </c>
      <c r="D92" s="1">
        <v>1000</v>
      </c>
      <c r="E92" s="1">
        <v>1000</v>
      </c>
      <c r="F92" s="2">
        <v>1000</v>
      </c>
      <c r="G92" s="1">
        <f t="shared" si="5"/>
        <v>1000</v>
      </c>
      <c r="H92" s="1" t="s">
        <v>33</v>
      </c>
      <c r="I92" s="1" t="s">
        <v>259</v>
      </c>
    </row>
    <row r="93" spans="1:9" x14ac:dyDescent="0.25">
      <c r="A93" s="1" t="s">
        <v>323</v>
      </c>
      <c r="B93" s="1">
        <v>3914.59</v>
      </c>
      <c r="C93" s="1">
        <v>3914.59</v>
      </c>
      <c r="D93" s="1">
        <v>3914.59</v>
      </c>
      <c r="E93" s="1">
        <v>3914.59</v>
      </c>
      <c r="F93" s="2">
        <v>3914.59</v>
      </c>
      <c r="G93" s="1">
        <f t="shared" si="5"/>
        <v>3914.59</v>
      </c>
      <c r="H93" s="1" t="s">
        <v>33</v>
      </c>
      <c r="I93" s="1" t="s">
        <v>324</v>
      </c>
    </row>
    <row r="94" spans="1:9" x14ac:dyDescent="0.25">
      <c r="A94" s="1" t="s">
        <v>325</v>
      </c>
      <c r="B94" s="1">
        <v>7.6917799999999996E-3</v>
      </c>
      <c r="C94" s="1">
        <v>7.6917799999999996E-3</v>
      </c>
      <c r="D94" s="1">
        <v>7.6917799999999996E-3</v>
      </c>
      <c r="E94" s="1">
        <v>7.6917799999999996E-3</v>
      </c>
      <c r="F94" s="2">
        <v>7.6917799999999996E-3</v>
      </c>
      <c r="G94" s="1">
        <f t="shared" si="5"/>
        <v>7.6917799999999996E-3</v>
      </c>
      <c r="H94" s="1" t="s">
        <v>326</v>
      </c>
      <c r="I94" s="1" t="s">
        <v>327</v>
      </c>
    </row>
    <row r="95" spans="1:9" x14ac:dyDescent="0.25">
      <c r="A95" s="1" t="s">
        <v>456</v>
      </c>
      <c r="B95" s="1">
        <v>1</v>
      </c>
      <c r="C95" s="1">
        <v>1</v>
      </c>
      <c r="D95" s="1">
        <v>0.8</v>
      </c>
      <c r="E95" s="1">
        <v>0.6</v>
      </c>
      <c r="F95" s="2">
        <v>1</v>
      </c>
      <c r="G95" s="1">
        <f>INDEX(B95:F95,MATCH($B$3,$B$5:$F$5,0))</f>
        <v>1</v>
      </c>
      <c r="H95" s="1" t="s">
        <v>43</v>
      </c>
      <c r="I95" s="1" t="s">
        <v>457</v>
      </c>
    </row>
  </sheetData>
  <dataValidations count="1">
    <dataValidation type="list" allowBlank="1" showInputMessage="1" showErrorMessage="1" sqref="B3" xr:uid="{6F13DB01-C8C9-4352-9875-32BED852E0F9}">
      <formula1>$B$5:$F$5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356A-832C-4005-A46D-E91B5D66FE78}">
  <dimension ref="A1:M26"/>
  <sheetViews>
    <sheetView workbookViewId="0">
      <pane ySplit="13" topLeftCell="A14" activePane="bottomLeft" state="frozenSplit"/>
      <selection pane="bottomLeft"/>
    </sheetView>
  </sheetViews>
  <sheetFormatPr defaultRowHeight="15" x14ac:dyDescent="0.25"/>
  <cols>
    <col min="1" max="1" width="20.7109375" customWidth="1"/>
    <col min="2" max="13" width="13.7109375" customWidth="1"/>
  </cols>
  <sheetData>
    <row r="1" spans="1:13" ht="17.25" x14ac:dyDescent="0.3">
      <c r="A1" s="4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5" t="s">
        <v>136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3" t="s">
        <v>137</v>
      </c>
      <c r="B3" s="3" t="str">
        <f>Inputs!B3</f>
        <v>Base</v>
      </c>
      <c r="C3" s="3"/>
      <c r="D3" s="3" t="s">
        <v>138</v>
      </c>
      <c r="E3" s="3">
        <f>Inputs!G7</f>
        <v>27</v>
      </c>
      <c r="F3" s="3"/>
      <c r="G3" s="3" t="s">
        <v>139</v>
      </c>
      <c r="H3" s="3">
        <f>Inputs!G83</f>
        <v>1</v>
      </c>
      <c r="I3" s="5" t="s">
        <v>140</v>
      </c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s="6" customFormat="1" x14ac:dyDescent="0.25">
      <c r="A5" s="8" t="s">
        <v>141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s="6" customFormat="1" x14ac:dyDescent="0.25">
      <c r="A6" s="10" t="s">
        <v>142</v>
      </c>
      <c r="B6" s="10" t="s">
        <v>143</v>
      </c>
      <c r="C6" s="10" t="s">
        <v>144</v>
      </c>
      <c r="D6" s="10" t="s">
        <v>145</v>
      </c>
      <c r="E6" s="10" t="s">
        <v>146</v>
      </c>
      <c r="F6" s="10"/>
      <c r="G6" s="10"/>
      <c r="H6" s="10"/>
      <c r="I6" s="10"/>
      <c r="J6" s="10"/>
      <c r="K6" s="10"/>
      <c r="L6" s="10"/>
      <c r="M6" s="10"/>
    </row>
    <row r="7" spans="1:13" x14ac:dyDescent="0.25">
      <c r="A7" s="1" t="s">
        <v>147</v>
      </c>
      <c r="B7" s="1">
        <f>Inputs!G9</f>
        <v>10</v>
      </c>
      <c r="C7" s="1">
        <f>Inputs!G25</f>
        <v>5000</v>
      </c>
      <c r="D7" s="1">
        <v>1</v>
      </c>
      <c r="E7" s="1">
        <f>B7</f>
        <v>10</v>
      </c>
      <c r="F7" s="1"/>
      <c r="G7" s="1"/>
      <c r="H7" s="1"/>
      <c r="I7" s="1"/>
      <c r="J7" s="1"/>
      <c r="K7" s="1"/>
      <c r="L7" s="1"/>
      <c r="M7" s="1"/>
    </row>
    <row r="8" spans="1:13" x14ac:dyDescent="0.25">
      <c r="A8" s="1" t="s">
        <v>148</v>
      </c>
      <c r="B8" s="1">
        <f>Inputs!G10</f>
        <v>12</v>
      </c>
      <c r="C8" s="1">
        <f>Inputs!G26</f>
        <v>5500</v>
      </c>
      <c r="D8" s="1">
        <f>E7+1</f>
        <v>11</v>
      </c>
      <c r="E8" s="1">
        <f>E7+B8</f>
        <v>22</v>
      </c>
      <c r="F8" s="1"/>
      <c r="G8" s="1"/>
      <c r="H8" s="1"/>
      <c r="I8" s="1"/>
      <c r="J8" s="1"/>
      <c r="K8" s="1"/>
      <c r="L8" s="1"/>
      <c r="M8" s="1"/>
    </row>
    <row r="9" spans="1:13" x14ac:dyDescent="0.25">
      <c r="A9" s="1" t="s">
        <v>149</v>
      </c>
      <c r="B9" s="1">
        <f>Inputs!G11</f>
        <v>5</v>
      </c>
      <c r="C9" s="1">
        <f>Inputs!G27</f>
        <v>6000</v>
      </c>
      <c r="D9" s="1">
        <f>E8+1</f>
        <v>23</v>
      </c>
      <c r="E9" s="1">
        <f>E8+B9</f>
        <v>27</v>
      </c>
      <c r="F9" s="1"/>
      <c r="G9" s="1"/>
      <c r="H9" s="1"/>
      <c r="I9" s="1"/>
      <c r="J9" s="1"/>
      <c r="K9" s="1"/>
      <c r="L9" s="1"/>
      <c r="M9" s="1"/>
    </row>
    <row r="10" spans="1:13" s="6" customFormat="1" x14ac:dyDescent="0.25">
      <c r="A10" s="3" t="s">
        <v>150</v>
      </c>
      <c r="B10" s="3">
        <f>SUM(B7:B9)</f>
        <v>27</v>
      </c>
      <c r="C10" s="3"/>
      <c r="D10" s="3"/>
      <c r="E10" s="3">
        <f>E9</f>
        <v>27</v>
      </c>
      <c r="F10" s="3" t="s">
        <v>151</v>
      </c>
      <c r="G10" s="3">
        <f>B10-Inputs!G7</f>
        <v>0</v>
      </c>
      <c r="H10" s="3"/>
      <c r="I10" s="3"/>
      <c r="J10" s="3"/>
      <c r="K10" s="3"/>
      <c r="L10" s="3"/>
      <c r="M10" s="3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s="6" customFormat="1" x14ac:dyDescent="0.25">
      <c r="A12" s="8" t="s">
        <v>152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s="6" customFormat="1" x14ac:dyDescent="0.25">
      <c r="A13" s="10" t="s">
        <v>153</v>
      </c>
      <c r="B13" s="10" t="s">
        <v>154</v>
      </c>
      <c r="C13" s="10" t="s">
        <v>155</v>
      </c>
      <c r="D13" s="10" t="s">
        <v>156</v>
      </c>
      <c r="E13" s="10" t="s">
        <v>157</v>
      </c>
      <c r="F13" s="10" t="s">
        <v>158</v>
      </c>
      <c r="G13" s="10" t="s">
        <v>159</v>
      </c>
      <c r="H13" s="10" t="s">
        <v>160</v>
      </c>
      <c r="I13" s="10" t="s">
        <v>161</v>
      </c>
      <c r="J13" s="10" t="s">
        <v>162</v>
      </c>
      <c r="K13" s="10" t="s">
        <v>163</v>
      </c>
      <c r="L13" s="10" t="s">
        <v>164</v>
      </c>
      <c r="M13" s="10" t="s">
        <v>165</v>
      </c>
    </row>
    <row r="14" spans="1:13" x14ac:dyDescent="0.25">
      <c r="A14" s="13">
        <v>2026</v>
      </c>
      <c r="B14" s="11">
        <f>Inputs!G15</f>
        <v>0</v>
      </c>
      <c r="C14" s="11">
        <v>0</v>
      </c>
      <c r="D14" s="11">
        <f t="shared" ref="D14:D25" si="0">C14+B14</f>
        <v>0</v>
      </c>
      <c r="E14" s="11">
        <f t="shared" ref="E14:E25" si="1">MAX(0,MIN(D14,$E$7)-MAX(C14+1,$D$7)+1)</f>
        <v>0</v>
      </c>
      <c r="F14" s="11">
        <f t="shared" ref="F14:F25" si="2">MAX(0,MIN(D14,$E$8)-MAX(C14+1,$D$8)+1)</f>
        <v>0</v>
      </c>
      <c r="G14" s="11">
        <f t="shared" ref="G14:G25" si="3">MAX(0,MIN(D14,$E$9)-MAX(C14+1,$D$9)+1)</f>
        <v>0</v>
      </c>
      <c r="H14" s="11">
        <f t="shared" ref="H14:H25" si="4">E14+F14+G14-B14</f>
        <v>0</v>
      </c>
      <c r="I14" s="11">
        <f t="shared" ref="I14:I25" si="5">E14*$C$7</f>
        <v>0</v>
      </c>
      <c r="J14" s="11">
        <f t="shared" ref="J14:J25" si="6">F14*$C$8</f>
        <v>0</v>
      </c>
      <c r="K14" s="11">
        <f t="shared" ref="K14:K25" si="7">G14*$C$9</f>
        <v>0</v>
      </c>
      <c r="L14" s="11">
        <f t="shared" ref="L14:L25" si="8">I14+J14+K14</f>
        <v>0</v>
      </c>
      <c r="M14" s="11">
        <f>L14</f>
        <v>0</v>
      </c>
    </row>
    <row r="15" spans="1:13" x14ac:dyDescent="0.25">
      <c r="A15" s="13">
        <v>2027</v>
      </c>
      <c r="B15" s="11">
        <f>Inputs!G16</f>
        <v>1</v>
      </c>
      <c r="C15" s="11">
        <f t="shared" ref="C15:C25" si="9">D14</f>
        <v>0</v>
      </c>
      <c r="D15" s="11">
        <f t="shared" si="0"/>
        <v>1</v>
      </c>
      <c r="E15" s="11">
        <f t="shared" si="1"/>
        <v>1</v>
      </c>
      <c r="F15" s="11">
        <f t="shared" si="2"/>
        <v>0</v>
      </c>
      <c r="G15" s="11">
        <f t="shared" si="3"/>
        <v>0</v>
      </c>
      <c r="H15" s="11">
        <f t="shared" si="4"/>
        <v>0</v>
      </c>
      <c r="I15" s="11">
        <f t="shared" si="5"/>
        <v>5000</v>
      </c>
      <c r="J15" s="11">
        <f t="shared" si="6"/>
        <v>0</v>
      </c>
      <c r="K15" s="11">
        <f t="shared" si="7"/>
        <v>0</v>
      </c>
      <c r="L15" s="11">
        <f t="shared" si="8"/>
        <v>5000</v>
      </c>
      <c r="M15" s="11">
        <f t="shared" ref="M15:M25" si="10">M14+L15</f>
        <v>5000</v>
      </c>
    </row>
    <row r="16" spans="1:13" x14ac:dyDescent="0.25">
      <c r="A16" s="13">
        <v>2028</v>
      </c>
      <c r="B16" s="11">
        <f>Inputs!G17</f>
        <v>6</v>
      </c>
      <c r="C16" s="11">
        <f t="shared" si="9"/>
        <v>1</v>
      </c>
      <c r="D16" s="11">
        <f t="shared" si="0"/>
        <v>7</v>
      </c>
      <c r="E16" s="11">
        <f t="shared" si="1"/>
        <v>6</v>
      </c>
      <c r="F16" s="11">
        <f t="shared" si="2"/>
        <v>0</v>
      </c>
      <c r="G16" s="11">
        <f t="shared" si="3"/>
        <v>0</v>
      </c>
      <c r="H16" s="11">
        <f t="shared" si="4"/>
        <v>0</v>
      </c>
      <c r="I16" s="11">
        <f t="shared" si="5"/>
        <v>30000</v>
      </c>
      <c r="J16" s="11">
        <f t="shared" si="6"/>
        <v>0</v>
      </c>
      <c r="K16" s="11">
        <f t="shared" si="7"/>
        <v>0</v>
      </c>
      <c r="L16" s="11">
        <f t="shared" si="8"/>
        <v>30000</v>
      </c>
      <c r="M16" s="11">
        <f t="shared" si="10"/>
        <v>35000</v>
      </c>
    </row>
    <row r="17" spans="1:13" x14ac:dyDescent="0.25">
      <c r="A17" s="13">
        <v>2029</v>
      </c>
      <c r="B17" s="11">
        <f>Inputs!G18</f>
        <v>7</v>
      </c>
      <c r="C17" s="11">
        <f t="shared" si="9"/>
        <v>7</v>
      </c>
      <c r="D17" s="11">
        <f t="shared" si="0"/>
        <v>14</v>
      </c>
      <c r="E17" s="11">
        <f t="shared" si="1"/>
        <v>3</v>
      </c>
      <c r="F17" s="11">
        <f t="shared" si="2"/>
        <v>4</v>
      </c>
      <c r="G17" s="11">
        <f t="shared" si="3"/>
        <v>0</v>
      </c>
      <c r="H17" s="11">
        <f t="shared" si="4"/>
        <v>0</v>
      </c>
      <c r="I17" s="11">
        <f t="shared" si="5"/>
        <v>15000</v>
      </c>
      <c r="J17" s="11">
        <f t="shared" si="6"/>
        <v>22000</v>
      </c>
      <c r="K17" s="11">
        <f t="shared" si="7"/>
        <v>0</v>
      </c>
      <c r="L17" s="11">
        <f t="shared" si="8"/>
        <v>37000</v>
      </c>
      <c r="M17" s="11">
        <f t="shared" si="10"/>
        <v>72000</v>
      </c>
    </row>
    <row r="18" spans="1:13" x14ac:dyDescent="0.25">
      <c r="A18" s="13">
        <v>2030</v>
      </c>
      <c r="B18" s="11">
        <f>Inputs!G19</f>
        <v>9</v>
      </c>
      <c r="C18" s="11">
        <f t="shared" si="9"/>
        <v>14</v>
      </c>
      <c r="D18" s="11">
        <f t="shared" si="0"/>
        <v>23</v>
      </c>
      <c r="E18" s="11">
        <f t="shared" si="1"/>
        <v>0</v>
      </c>
      <c r="F18" s="11">
        <f t="shared" si="2"/>
        <v>8</v>
      </c>
      <c r="G18" s="11">
        <f t="shared" si="3"/>
        <v>1</v>
      </c>
      <c r="H18" s="11">
        <f t="shared" si="4"/>
        <v>0</v>
      </c>
      <c r="I18" s="11">
        <f t="shared" si="5"/>
        <v>0</v>
      </c>
      <c r="J18" s="11">
        <f t="shared" si="6"/>
        <v>44000</v>
      </c>
      <c r="K18" s="11">
        <f t="shared" si="7"/>
        <v>6000</v>
      </c>
      <c r="L18" s="11">
        <f t="shared" si="8"/>
        <v>50000</v>
      </c>
      <c r="M18" s="11">
        <f t="shared" si="10"/>
        <v>122000</v>
      </c>
    </row>
    <row r="19" spans="1:13" x14ac:dyDescent="0.25">
      <c r="A19" s="13">
        <v>2031</v>
      </c>
      <c r="B19" s="11">
        <f>Inputs!G20</f>
        <v>4</v>
      </c>
      <c r="C19" s="11">
        <f t="shared" si="9"/>
        <v>23</v>
      </c>
      <c r="D19" s="11">
        <f t="shared" si="0"/>
        <v>27</v>
      </c>
      <c r="E19" s="11">
        <f t="shared" si="1"/>
        <v>0</v>
      </c>
      <c r="F19" s="11">
        <f t="shared" si="2"/>
        <v>0</v>
      </c>
      <c r="G19" s="11">
        <f t="shared" si="3"/>
        <v>4</v>
      </c>
      <c r="H19" s="11">
        <f t="shared" si="4"/>
        <v>0</v>
      </c>
      <c r="I19" s="11">
        <f t="shared" si="5"/>
        <v>0</v>
      </c>
      <c r="J19" s="11">
        <f t="shared" si="6"/>
        <v>0</v>
      </c>
      <c r="K19" s="11">
        <f t="shared" si="7"/>
        <v>24000</v>
      </c>
      <c r="L19" s="11">
        <f t="shared" si="8"/>
        <v>24000</v>
      </c>
      <c r="M19" s="11">
        <f t="shared" si="10"/>
        <v>146000</v>
      </c>
    </row>
    <row r="20" spans="1:13" x14ac:dyDescent="0.25">
      <c r="A20" s="13">
        <v>2032</v>
      </c>
      <c r="B20" s="11">
        <f>Inputs!G21</f>
        <v>0</v>
      </c>
      <c r="C20" s="11">
        <f t="shared" si="9"/>
        <v>27</v>
      </c>
      <c r="D20" s="11">
        <f t="shared" si="0"/>
        <v>27</v>
      </c>
      <c r="E20" s="11">
        <f t="shared" si="1"/>
        <v>0</v>
      </c>
      <c r="F20" s="11">
        <f t="shared" si="2"/>
        <v>0</v>
      </c>
      <c r="G20" s="11">
        <f t="shared" si="3"/>
        <v>0</v>
      </c>
      <c r="H20" s="11">
        <f t="shared" si="4"/>
        <v>0</v>
      </c>
      <c r="I20" s="11">
        <f t="shared" si="5"/>
        <v>0</v>
      </c>
      <c r="J20" s="11">
        <f t="shared" si="6"/>
        <v>0</v>
      </c>
      <c r="K20" s="11">
        <f t="shared" si="7"/>
        <v>0</v>
      </c>
      <c r="L20" s="11">
        <f t="shared" si="8"/>
        <v>0</v>
      </c>
      <c r="M20" s="11">
        <f t="shared" si="10"/>
        <v>146000</v>
      </c>
    </row>
    <row r="21" spans="1:13" x14ac:dyDescent="0.25">
      <c r="A21" s="13">
        <v>2033</v>
      </c>
      <c r="B21" s="11">
        <v>0</v>
      </c>
      <c r="C21" s="11">
        <f t="shared" si="9"/>
        <v>27</v>
      </c>
      <c r="D21" s="11">
        <f t="shared" si="0"/>
        <v>27</v>
      </c>
      <c r="E21" s="11">
        <f t="shared" si="1"/>
        <v>0</v>
      </c>
      <c r="F21" s="11">
        <f t="shared" si="2"/>
        <v>0</v>
      </c>
      <c r="G21" s="11">
        <f t="shared" si="3"/>
        <v>0</v>
      </c>
      <c r="H21" s="11">
        <f t="shared" si="4"/>
        <v>0</v>
      </c>
      <c r="I21" s="11">
        <f t="shared" si="5"/>
        <v>0</v>
      </c>
      <c r="J21" s="11">
        <f t="shared" si="6"/>
        <v>0</v>
      </c>
      <c r="K21" s="11">
        <f t="shared" si="7"/>
        <v>0</v>
      </c>
      <c r="L21" s="11">
        <f t="shared" si="8"/>
        <v>0</v>
      </c>
      <c r="M21" s="11">
        <f t="shared" si="10"/>
        <v>146000</v>
      </c>
    </row>
    <row r="22" spans="1:13" x14ac:dyDescent="0.25">
      <c r="A22" s="13">
        <v>2034</v>
      </c>
      <c r="B22" s="11">
        <v>0</v>
      </c>
      <c r="C22" s="11">
        <f t="shared" si="9"/>
        <v>27</v>
      </c>
      <c r="D22" s="11">
        <f t="shared" si="0"/>
        <v>27</v>
      </c>
      <c r="E22" s="11">
        <f t="shared" si="1"/>
        <v>0</v>
      </c>
      <c r="F22" s="11">
        <f t="shared" si="2"/>
        <v>0</v>
      </c>
      <c r="G22" s="11">
        <f t="shared" si="3"/>
        <v>0</v>
      </c>
      <c r="H22" s="11">
        <f t="shared" si="4"/>
        <v>0</v>
      </c>
      <c r="I22" s="11">
        <f t="shared" si="5"/>
        <v>0</v>
      </c>
      <c r="J22" s="11">
        <f t="shared" si="6"/>
        <v>0</v>
      </c>
      <c r="K22" s="11">
        <f t="shared" si="7"/>
        <v>0</v>
      </c>
      <c r="L22" s="11">
        <f t="shared" si="8"/>
        <v>0</v>
      </c>
      <c r="M22" s="11">
        <f t="shared" si="10"/>
        <v>146000</v>
      </c>
    </row>
    <row r="23" spans="1:13" x14ac:dyDescent="0.25">
      <c r="A23" s="13">
        <v>2035</v>
      </c>
      <c r="B23" s="11">
        <v>0</v>
      </c>
      <c r="C23" s="11">
        <f t="shared" si="9"/>
        <v>27</v>
      </c>
      <c r="D23" s="11">
        <f t="shared" si="0"/>
        <v>27</v>
      </c>
      <c r="E23" s="11">
        <f t="shared" si="1"/>
        <v>0</v>
      </c>
      <c r="F23" s="11">
        <f t="shared" si="2"/>
        <v>0</v>
      </c>
      <c r="G23" s="11">
        <f t="shared" si="3"/>
        <v>0</v>
      </c>
      <c r="H23" s="11">
        <f t="shared" si="4"/>
        <v>0</v>
      </c>
      <c r="I23" s="11">
        <f t="shared" si="5"/>
        <v>0</v>
      </c>
      <c r="J23" s="11">
        <f t="shared" si="6"/>
        <v>0</v>
      </c>
      <c r="K23" s="11">
        <f t="shared" si="7"/>
        <v>0</v>
      </c>
      <c r="L23" s="11">
        <f t="shared" si="8"/>
        <v>0</v>
      </c>
      <c r="M23" s="11">
        <f t="shared" si="10"/>
        <v>146000</v>
      </c>
    </row>
    <row r="24" spans="1:13" x14ac:dyDescent="0.25">
      <c r="A24" s="13">
        <v>2036</v>
      </c>
      <c r="B24" s="11">
        <v>0</v>
      </c>
      <c r="C24" s="11">
        <f t="shared" si="9"/>
        <v>27</v>
      </c>
      <c r="D24" s="11">
        <f t="shared" si="0"/>
        <v>27</v>
      </c>
      <c r="E24" s="11">
        <f t="shared" si="1"/>
        <v>0</v>
      </c>
      <c r="F24" s="11">
        <f t="shared" si="2"/>
        <v>0</v>
      </c>
      <c r="G24" s="11">
        <f t="shared" si="3"/>
        <v>0</v>
      </c>
      <c r="H24" s="11">
        <f t="shared" si="4"/>
        <v>0</v>
      </c>
      <c r="I24" s="11">
        <f t="shared" si="5"/>
        <v>0</v>
      </c>
      <c r="J24" s="11">
        <f t="shared" si="6"/>
        <v>0</v>
      </c>
      <c r="K24" s="11">
        <f t="shared" si="7"/>
        <v>0</v>
      </c>
      <c r="L24" s="11">
        <f t="shared" si="8"/>
        <v>0</v>
      </c>
      <c r="M24" s="11">
        <f t="shared" si="10"/>
        <v>146000</v>
      </c>
    </row>
    <row r="25" spans="1:13" x14ac:dyDescent="0.25">
      <c r="A25" s="13">
        <v>2037</v>
      </c>
      <c r="B25" s="11">
        <v>0</v>
      </c>
      <c r="C25" s="11">
        <f t="shared" si="9"/>
        <v>27</v>
      </c>
      <c r="D25" s="11">
        <f t="shared" si="0"/>
        <v>27</v>
      </c>
      <c r="E25" s="11">
        <f t="shared" si="1"/>
        <v>0</v>
      </c>
      <c r="F25" s="11">
        <f t="shared" si="2"/>
        <v>0</v>
      </c>
      <c r="G25" s="11">
        <f t="shared" si="3"/>
        <v>0</v>
      </c>
      <c r="H25" s="11">
        <f t="shared" si="4"/>
        <v>0</v>
      </c>
      <c r="I25" s="11">
        <f t="shared" si="5"/>
        <v>0</v>
      </c>
      <c r="J25" s="11">
        <f t="shared" si="6"/>
        <v>0</v>
      </c>
      <c r="K25" s="11">
        <f t="shared" si="7"/>
        <v>0</v>
      </c>
      <c r="L25" s="11">
        <f t="shared" si="8"/>
        <v>0</v>
      </c>
      <c r="M25" s="11">
        <f t="shared" si="10"/>
        <v>146000</v>
      </c>
    </row>
    <row r="26" spans="1:13" s="6" customFormat="1" x14ac:dyDescent="0.25">
      <c r="A26" s="3" t="s">
        <v>150</v>
      </c>
      <c r="B26" s="12">
        <f>SUM(B14:B25)</f>
        <v>27</v>
      </c>
      <c r="C26" s="12"/>
      <c r="D26" s="12"/>
      <c r="E26" s="12">
        <f t="shared" ref="E26:L26" si="11">SUM(E14:E25)</f>
        <v>10</v>
      </c>
      <c r="F26" s="12">
        <f t="shared" si="11"/>
        <v>12</v>
      </c>
      <c r="G26" s="12">
        <f t="shared" si="11"/>
        <v>5</v>
      </c>
      <c r="H26" s="12">
        <f t="shared" si="11"/>
        <v>0</v>
      </c>
      <c r="I26" s="12">
        <f t="shared" si="11"/>
        <v>50000</v>
      </c>
      <c r="J26" s="12">
        <f t="shared" si="11"/>
        <v>66000</v>
      </c>
      <c r="K26" s="12">
        <f t="shared" si="11"/>
        <v>30000</v>
      </c>
      <c r="L26" s="12">
        <f t="shared" si="11"/>
        <v>146000</v>
      </c>
      <c r="M26" s="12">
        <f>M25</f>
        <v>146000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3023-2287-4B59-9831-11C2101EBF7D}">
  <dimension ref="A1:M29"/>
  <sheetViews>
    <sheetView workbookViewId="0">
      <pane ySplit="16" topLeftCell="A17" activePane="bottomLeft" state="frozenSplit"/>
      <selection pane="bottomLeft"/>
    </sheetView>
  </sheetViews>
  <sheetFormatPr defaultRowHeight="15" x14ac:dyDescent="0.25"/>
  <cols>
    <col min="1" max="1" width="22.7109375" customWidth="1"/>
    <col min="2" max="4" width="13.28515625" customWidth="1"/>
    <col min="5" max="5" width="14.7109375" customWidth="1"/>
    <col min="6" max="13" width="13.28515625" customWidth="1"/>
  </cols>
  <sheetData>
    <row r="1" spans="1:13" ht="17.25" x14ac:dyDescent="0.3">
      <c r="A1" s="4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5" t="s">
        <v>174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3" t="s">
        <v>137</v>
      </c>
      <c r="B3" s="3" t="str">
        <f>Inputs!B3</f>
        <v>Base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s="6" customFormat="1" x14ac:dyDescent="0.25">
      <c r="A5" s="8" t="s">
        <v>175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s="6" customFormat="1" x14ac:dyDescent="0.25">
      <c r="A6" s="10" t="s">
        <v>176</v>
      </c>
      <c r="B6" s="10" t="s">
        <v>177</v>
      </c>
      <c r="C6" s="10" t="s">
        <v>178</v>
      </c>
      <c r="D6" s="10" t="s">
        <v>179</v>
      </c>
      <c r="E6" s="10" t="s">
        <v>180</v>
      </c>
      <c r="F6" s="10"/>
      <c r="G6" s="10"/>
      <c r="H6" s="10"/>
      <c r="I6" s="10"/>
      <c r="J6" s="10"/>
      <c r="K6" s="10"/>
      <c r="L6" s="10"/>
      <c r="M6" s="10"/>
    </row>
    <row r="7" spans="1:13" x14ac:dyDescent="0.25">
      <c r="A7" s="3" t="s">
        <v>181</v>
      </c>
      <c r="B7" s="15">
        <f>C29</f>
        <v>146000</v>
      </c>
      <c r="C7" s="16">
        <v>146000</v>
      </c>
      <c r="D7" s="16">
        <f t="shared" ref="D7:D12" si="0">B7-C7</f>
        <v>0</v>
      </c>
      <c r="E7" s="3" t="s">
        <v>182</v>
      </c>
      <c r="F7" s="1"/>
      <c r="G7" s="1"/>
      <c r="H7" s="1"/>
      <c r="I7" s="1"/>
      <c r="J7" s="1"/>
      <c r="K7" s="1"/>
      <c r="L7" s="1"/>
      <c r="M7" s="1"/>
    </row>
    <row r="8" spans="1:13" x14ac:dyDescent="0.25">
      <c r="A8" s="1" t="s">
        <v>183</v>
      </c>
      <c r="B8" s="16">
        <f>D29</f>
        <v>4745</v>
      </c>
      <c r="C8" s="16">
        <v>4745</v>
      </c>
      <c r="D8" s="16">
        <f t="shared" si="0"/>
        <v>0</v>
      </c>
      <c r="E8" s="1" t="s">
        <v>184</v>
      </c>
      <c r="F8" s="1"/>
      <c r="G8" s="1"/>
      <c r="H8" s="1"/>
      <c r="I8" s="1"/>
      <c r="J8" s="1"/>
      <c r="K8" s="1"/>
      <c r="L8" s="1"/>
      <c r="M8" s="1"/>
    </row>
    <row r="9" spans="1:13" x14ac:dyDescent="0.25">
      <c r="A9" s="1" t="s">
        <v>185</v>
      </c>
      <c r="B9" s="16">
        <f>E29</f>
        <v>141255</v>
      </c>
      <c r="C9" s="16">
        <v>141255</v>
      </c>
      <c r="D9" s="16">
        <f t="shared" si="0"/>
        <v>0</v>
      </c>
      <c r="E9" s="1" t="s">
        <v>186</v>
      </c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 t="s">
        <v>187</v>
      </c>
      <c r="B10" s="16">
        <f>F29</f>
        <v>32400</v>
      </c>
      <c r="C10" s="16">
        <v>32400</v>
      </c>
      <c r="D10" s="16">
        <f t="shared" si="0"/>
        <v>0</v>
      </c>
      <c r="E10" s="1" t="s">
        <v>188</v>
      </c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 t="s">
        <v>189</v>
      </c>
      <c r="B11" s="16">
        <f>J29</f>
        <v>8860.5</v>
      </c>
      <c r="C11" s="16">
        <v>8860.5</v>
      </c>
      <c r="D11" s="16">
        <f t="shared" si="0"/>
        <v>0</v>
      </c>
      <c r="E11" s="1" t="s">
        <v>190</v>
      </c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 t="s">
        <v>191</v>
      </c>
      <c r="B12" s="16">
        <f>M29</f>
        <v>17451.25</v>
      </c>
      <c r="C12" s="16">
        <v>17451.25</v>
      </c>
      <c r="D12" s="16">
        <f t="shared" si="0"/>
        <v>0</v>
      </c>
      <c r="E12" s="1" t="s">
        <v>192</v>
      </c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s="6" customFormat="1" x14ac:dyDescent="0.25">
      <c r="A14" s="8" t="s">
        <v>193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x14ac:dyDescent="0.25">
      <c r="A15" s="5" t="s">
        <v>194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s="6" customFormat="1" x14ac:dyDescent="0.25">
      <c r="A16" s="10" t="s">
        <v>153</v>
      </c>
      <c r="B16" s="10" t="s">
        <v>154</v>
      </c>
      <c r="C16" s="10" t="s">
        <v>195</v>
      </c>
      <c r="D16" s="10" t="s">
        <v>196</v>
      </c>
      <c r="E16" s="10" t="s">
        <v>197</v>
      </c>
      <c r="F16" s="10" t="s">
        <v>198</v>
      </c>
      <c r="G16" s="10" t="s">
        <v>199</v>
      </c>
      <c r="H16" s="10" t="s">
        <v>200</v>
      </c>
      <c r="I16" s="10" t="s">
        <v>201</v>
      </c>
      <c r="J16" s="10" t="s">
        <v>202</v>
      </c>
      <c r="K16" s="10" t="s">
        <v>203</v>
      </c>
      <c r="L16" s="10" t="s">
        <v>204</v>
      </c>
      <c r="M16" s="10" t="s">
        <v>205</v>
      </c>
    </row>
    <row r="17" spans="1:13" x14ac:dyDescent="0.25">
      <c r="A17" s="13">
        <v>2026</v>
      </c>
      <c r="B17" s="11">
        <f>'Lot Schedule'!B14</f>
        <v>0</v>
      </c>
      <c r="C17" s="11">
        <f>'Lot Schedule'!L14</f>
        <v>0</v>
      </c>
      <c r="D17" s="11">
        <f>C17*Inputs!$G$88+Inputs!$G$89*B17/Inputs!$G$7</f>
        <v>0</v>
      </c>
      <c r="E17" s="11">
        <f t="shared" ref="E17:E28" si="1">C17-D17</f>
        <v>0</v>
      </c>
      <c r="F17" s="11">
        <f>B17*Inputs!$G$51</f>
        <v>0</v>
      </c>
      <c r="G17" s="14">
        <v>0</v>
      </c>
      <c r="H17" s="14">
        <v>0</v>
      </c>
      <c r="I17" s="11">
        <f>G17/SUM($G$17:$G$28)*Inputs!$G$7*Inputs!$G$77+H17/SUM($H$17:$H$28)*Inputs!$G$74*Inputs!$G$78</f>
        <v>0</v>
      </c>
      <c r="J17" s="11">
        <f>I17*(1-Inputs!$G$90)</f>
        <v>0</v>
      </c>
      <c r="K17" s="14">
        <v>160</v>
      </c>
      <c r="L17" s="14">
        <v>0</v>
      </c>
      <c r="M17" s="16">
        <f>K17/12*((15+Inputs!$G$7)/42)*Inputs!$G$75+L17/12*(Inputs!$G$74/50)*Inputs!$G$76</f>
        <v>333.33333333333337</v>
      </c>
    </row>
    <row r="18" spans="1:13" x14ac:dyDescent="0.25">
      <c r="A18" s="13">
        <v>2027</v>
      </c>
      <c r="B18" s="11">
        <f>'Lot Schedule'!B15</f>
        <v>1</v>
      </c>
      <c r="C18" s="11">
        <f>'Lot Schedule'!L15</f>
        <v>5000</v>
      </c>
      <c r="D18" s="11">
        <f>C18*Inputs!$G$88+Inputs!$G$89*B18/Inputs!$G$7</f>
        <v>163.51851851851853</v>
      </c>
      <c r="E18" s="11">
        <f t="shared" si="1"/>
        <v>4836.4814814814818</v>
      </c>
      <c r="F18" s="11">
        <f>B18*Inputs!$G$51</f>
        <v>1200</v>
      </c>
      <c r="G18" s="14">
        <v>1</v>
      </c>
      <c r="H18" s="14">
        <v>18</v>
      </c>
      <c r="I18" s="11">
        <f>G18/SUM($G$17:$G$28)*Inputs!$G$7*Inputs!$G$77+H18/SUM($H$17:$H$28)*Inputs!$G$74*Inputs!$G$78</f>
        <v>2350</v>
      </c>
      <c r="J18" s="11">
        <f>I18*(1-Inputs!$G$90)</f>
        <v>2326.5</v>
      </c>
      <c r="K18" s="14">
        <v>181</v>
      </c>
      <c r="L18" s="14">
        <v>91</v>
      </c>
      <c r="M18" s="16">
        <f>K18/12*((15+Inputs!$G$7)/42)*Inputs!$G$75+L18/12*(Inputs!$G$74/50)*Inputs!$G$76</f>
        <v>490.83333333333337</v>
      </c>
    </row>
    <row r="19" spans="1:13" x14ac:dyDescent="0.25">
      <c r="A19" s="13">
        <v>2028</v>
      </c>
      <c r="B19" s="11">
        <f>'Lot Schedule'!B16</f>
        <v>6</v>
      </c>
      <c r="C19" s="11">
        <f>'Lot Schedule'!L16</f>
        <v>30000</v>
      </c>
      <c r="D19" s="11">
        <f>C19*Inputs!$G$88+Inputs!$G$89*B19/Inputs!$G$7</f>
        <v>981.11111111111109</v>
      </c>
      <c r="E19" s="11">
        <f t="shared" si="1"/>
        <v>29018.888888888891</v>
      </c>
      <c r="F19" s="11">
        <f>B19*Inputs!$G$51</f>
        <v>7200</v>
      </c>
      <c r="G19" s="14">
        <v>7</v>
      </c>
      <c r="H19" s="14">
        <v>24</v>
      </c>
      <c r="I19" s="11">
        <f>G19/SUM($G$17:$G$28)*Inputs!$G$7*Inputs!$G$77+H19/SUM($H$17:$H$28)*Inputs!$G$74*Inputs!$G$78</f>
        <v>3700</v>
      </c>
      <c r="J19" s="11">
        <f>I19*(1-Inputs!$G$90)</f>
        <v>3663</v>
      </c>
      <c r="K19" s="14">
        <v>243</v>
      </c>
      <c r="L19" s="14">
        <v>372</v>
      </c>
      <c r="M19" s="16">
        <f>K19/12*((15+Inputs!$G$7)/42)*Inputs!$G$75+L19/12*(Inputs!$G$74/50)*Inputs!$G$76</f>
        <v>971.25</v>
      </c>
    </row>
    <row r="20" spans="1:13" x14ac:dyDescent="0.25">
      <c r="A20" s="13">
        <v>2029</v>
      </c>
      <c r="B20" s="11">
        <f>'Lot Schedule'!B17</f>
        <v>7</v>
      </c>
      <c r="C20" s="11">
        <f>'Lot Schedule'!L17</f>
        <v>37000</v>
      </c>
      <c r="D20" s="11">
        <f>C20*Inputs!$G$88+Inputs!$G$89*B20/Inputs!$G$7</f>
        <v>1204.6296296296296</v>
      </c>
      <c r="E20" s="11">
        <f t="shared" si="1"/>
        <v>35795.370370370372</v>
      </c>
      <c r="F20" s="11">
        <f>B20*Inputs!$G$51</f>
        <v>8400</v>
      </c>
      <c r="G20" s="14">
        <v>8</v>
      </c>
      <c r="H20" s="14">
        <v>8</v>
      </c>
      <c r="I20" s="11">
        <f>G20/SUM($G$17:$G$28)*Inputs!$G$7*Inputs!$G$77+H20/SUM($H$17:$H$28)*Inputs!$G$74*Inputs!$G$78</f>
        <v>1800</v>
      </c>
      <c r="J20" s="11">
        <f>I20*(1-Inputs!$G$90)</f>
        <v>1782</v>
      </c>
      <c r="K20" s="14">
        <v>330</v>
      </c>
      <c r="L20" s="14">
        <v>588</v>
      </c>
      <c r="M20" s="16">
        <f>K20/12*((15+Inputs!$G$7)/42)*Inputs!$G$75+L20/12*(Inputs!$G$74/50)*Inputs!$G$76</f>
        <v>1422.5</v>
      </c>
    </row>
    <row r="21" spans="1:13" x14ac:dyDescent="0.25">
      <c r="A21" s="13">
        <v>2030</v>
      </c>
      <c r="B21" s="11">
        <f>'Lot Schedule'!B18</f>
        <v>9</v>
      </c>
      <c r="C21" s="11">
        <f>'Lot Schedule'!L18</f>
        <v>50000</v>
      </c>
      <c r="D21" s="11">
        <f>C21*Inputs!$G$88+Inputs!$G$89*B21/Inputs!$G$7</f>
        <v>1621.6666666666667</v>
      </c>
      <c r="E21" s="11">
        <f t="shared" si="1"/>
        <v>48378.333333333336</v>
      </c>
      <c r="F21" s="11">
        <f>B21*Inputs!$G$51</f>
        <v>10800</v>
      </c>
      <c r="G21" s="14">
        <v>8</v>
      </c>
      <c r="H21" s="14">
        <v>0</v>
      </c>
      <c r="I21" s="11">
        <f>G21/SUM($G$17:$G$28)*Inputs!$G$7*Inputs!$G$77+H21/SUM($H$17:$H$28)*Inputs!$G$74*Inputs!$G$78</f>
        <v>800</v>
      </c>
      <c r="J21" s="11">
        <f>I21*(1-Inputs!$G$90)</f>
        <v>792</v>
      </c>
      <c r="K21" s="14">
        <v>433</v>
      </c>
      <c r="L21" s="14">
        <v>600</v>
      </c>
      <c r="M21" s="16">
        <f>K21/12*((15+Inputs!$G$7)/42)*Inputs!$G$75+L21/12*(Inputs!$G$74/50)*Inputs!$G$76</f>
        <v>1652.0833333333335</v>
      </c>
    </row>
    <row r="22" spans="1:13" x14ac:dyDescent="0.25">
      <c r="A22" s="13">
        <v>2031</v>
      </c>
      <c r="B22" s="11">
        <f>'Lot Schedule'!B19</f>
        <v>4</v>
      </c>
      <c r="C22" s="11">
        <f>'Lot Schedule'!L19</f>
        <v>24000</v>
      </c>
      <c r="D22" s="11">
        <f>C22*Inputs!$G$88+Inputs!$G$89*B22/Inputs!$G$7</f>
        <v>774.07407407407413</v>
      </c>
      <c r="E22" s="11">
        <f t="shared" si="1"/>
        <v>23225.925925925927</v>
      </c>
      <c r="F22" s="11">
        <f>B22*Inputs!$G$51</f>
        <v>4800</v>
      </c>
      <c r="G22" s="14">
        <v>3</v>
      </c>
      <c r="H22" s="14">
        <v>0</v>
      </c>
      <c r="I22" s="11">
        <f>G22/SUM($G$17:$G$28)*Inputs!$G$7*Inputs!$G$77+H22/SUM($H$17:$H$28)*Inputs!$G$74*Inputs!$G$78</f>
        <v>300</v>
      </c>
      <c r="J22" s="11">
        <f>I22*(1-Inputs!$G$90)</f>
        <v>297</v>
      </c>
      <c r="K22" s="14">
        <v>495</v>
      </c>
      <c r="L22" s="14">
        <v>600</v>
      </c>
      <c r="M22" s="16">
        <f>K22/12*((15+Inputs!$G$7)/42)*Inputs!$G$75+L22/12*(Inputs!$G$74/50)*Inputs!$G$76</f>
        <v>1781.25</v>
      </c>
    </row>
    <row r="23" spans="1:13" x14ac:dyDescent="0.25">
      <c r="A23" s="13">
        <v>2032</v>
      </c>
      <c r="B23" s="11">
        <f>'Lot Schedule'!B20</f>
        <v>0</v>
      </c>
      <c r="C23" s="11">
        <f>'Lot Schedule'!L20</f>
        <v>0</v>
      </c>
      <c r="D23" s="11">
        <f>C23*Inputs!$G$88+Inputs!$G$89*B23/Inputs!$G$7</f>
        <v>0</v>
      </c>
      <c r="E23" s="11">
        <f t="shared" si="1"/>
        <v>0</v>
      </c>
      <c r="F23" s="11">
        <f>B23*Inputs!$G$51</f>
        <v>0</v>
      </c>
      <c r="G23" s="14">
        <v>0</v>
      </c>
      <c r="H23" s="14">
        <v>0</v>
      </c>
      <c r="I23" s="11">
        <f>G23/SUM($G$17:$G$28)*Inputs!$G$7*Inputs!$G$77+H23/SUM($H$17:$H$28)*Inputs!$G$74*Inputs!$G$78</f>
        <v>0</v>
      </c>
      <c r="J23" s="11">
        <f>I23*(1-Inputs!$G$90)</f>
        <v>0</v>
      </c>
      <c r="K23" s="14">
        <v>504</v>
      </c>
      <c r="L23" s="14">
        <v>600</v>
      </c>
      <c r="M23" s="16">
        <f>K23/12*((15+Inputs!$G$7)/42)*Inputs!$G$75+L23/12*(Inputs!$G$74/50)*Inputs!$G$76</f>
        <v>1800</v>
      </c>
    </row>
    <row r="24" spans="1:13" x14ac:dyDescent="0.25">
      <c r="A24" s="13">
        <v>2033</v>
      </c>
      <c r="B24" s="11">
        <f>'Lot Schedule'!B21</f>
        <v>0</v>
      </c>
      <c r="C24" s="11">
        <f>'Lot Schedule'!L21</f>
        <v>0</v>
      </c>
      <c r="D24" s="11">
        <f>C24*Inputs!$G$88+Inputs!$G$89*B24/Inputs!$G$7</f>
        <v>0</v>
      </c>
      <c r="E24" s="11">
        <f t="shared" si="1"/>
        <v>0</v>
      </c>
      <c r="F24" s="11">
        <f>B24*Inputs!$G$51</f>
        <v>0</v>
      </c>
      <c r="G24" s="14">
        <v>0</v>
      </c>
      <c r="H24" s="14">
        <v>0</v>
      </c>
      <c r="I24" s="11">
        <f>G24/SUM($G$17:$G$28)*Inputs!$G$7*Inputs!$G$77+H24/SUM($H$17:$H$28)*Inputs!$G$74*Inputs!$G$78</f>
        <v>0</v>
      </c>
      <c r="J24" s="11">
        <f>I24*(1-Inputs!$G$90)</f>
        <v>0</v>
      </c>
      <c r="K24" s="14">
        <v>504</v>
      </c>
      <c r="L24" s="14">
        <v>600</v>
      </c>
      <c r="M24" s="16">
        <f>K24/12*((15+Inputs!$G$7)/42)*Inputs!$G$75+L24/12*(Inputs!$G$74/50)*Inputs!$G$76</f>
        <v>1800</v>
      </c>
    </row>
    <row r="25" spans="1:13" x14ac:dyDescent="0.25">
      <c r="A25" s="13">
        <v>2034</v>
      </c>
      <c r="B25" s="11">
        <f>'Lot Schedule'!B22</f>
        <v>0</v>
      </c>
      <c r="C25" s="11">
        <f>'Lot Schedule'!L22</f>
        <v>0</v>
      </c>
      <c r="D25" s="11">
        <f>C25*Inputs!$G$88+Inputs!$G$89*B25/Inputs!$G$7</f>
        <v>0</v>
      </c>
      <c r="E25" s="11">
        <f t="shared" si="1"/>
        <v>0</v>
      </c>
      <c r="F25" s="11">
        <f>B25*Inputs!$G$51</f>
        <v>0</v>
      </c>
      <c r="G25" s="14">
        <v>0</v>
      </c>
      <c r="H25" s="14">
        <v>0</v>
      </c>
      <c r="I25" s="11">
        <f>G25/SUM($G$17:$G$28)*Inputs!$G$7*Inputs!$G$77+H25/SUM($H$17:$H$28)*Inputs!$G$74*Inputs!$G$78</f>
        <v>0</v>
      </c>
      <c r="J25" s="11">
        <f>I25*(1-Inputs!$G$90)</f>
        <v>0</v>
      </c>
      <c r="K25" s="14">
        <v>504</v>
      </c>
      <c r="L25" s="14">
        <v>600</v>
      </c>
      <c r="M25" s="16">
        <f>K25/12*((15+Inputs!$G$7)/42)*Inputs!$G$75+L25/12*(Inputs!$G$74/50)*Inputs!$G$76</f>
        <v>1800</v>
      </c>
    </row>
    <row r="26" spans="1:13" x14ac:dyDescent="0.25">
      <c r="A26" s="13">
        <v>2035</v>
      </c>
      <c r="B26" s="11">
        <f>'Lot Schedule'!B23</f>
        <v>0</v>
      </c>
      <c r="C26" s="11">
        <f>'Lot Schedule'!L23</f>
        <v>0</v>
      </c>
      <c r="D26" s="11">
        <f>C26*Inputs!$G$88+Inputs!$G$89*B26/Inputs!$G$7</f>
        <v>0</v>
      </c>
      <c r="E26" s="11">
        <f t="shared" si="1"/>
        <v>0</v>
      </c>
      <c r="F26" s="11">
        <f>B26*Inputs!$G$51</f>
        <v>0</v>
      </c>
      <c r="G26" s="14">
        <v>0</v>
      </c>
      <c r="H26" s="14">
        <v>0</v>
      </c>
      <c r="I26" s="11">
        <f>G26/SUM($G$17:$G$28)*Inputs!$G$7*Inputs!$G$77+H26/SUM($H$17:$H$28)*Inputs!$G$74*Inputs!$G$78</f>
        <v>0</v>
      </c>
      <c r="J26" s="11">
        <f>I26*(1-Inputs!$G$90)</f>
        <v>0</v>
      </c>
      <c r="K26" s="14">
        <v>504</v>
      </c>
      <c r="L26" s="14">
        <v>600</v>
      </c>
      <c r="M26" s="16">
        <f>K26/12*((15+Inputs!$G$7)/42)*Inputs!$G$75+L26/12*(Inputs!$G$74/50)*Inputs!$G$76</f>
        <v>1800</v>
      </c>
    </row>
    <row r="27" spans="1:13" x14ac:dyDescent="0.25">
      <c r="A27" s="13">
        <v>2036</v>
      </c>
      <c r="B27" s="11">
        <f>'Lot Schedule'!B24</f>
        <v>0</v>
      </c>
      <c r="C27" s="11">
        <f>'Lot Schedule'!L24</f>
        <v>0</v>
      </c>
      <c r="D27" s="11">
        <f>C27*Inputs!$G$88+Inputs!$G$89*B27/Inputs!$G$7</f>
        <v>0</v>
      </c>
      <c r="E27" s="11">
        <f t="shared" si="1"/>
        <v>0</v>
      </c>
      <c r="F27" s="11">
        <f>B27*Inputs!$G$51</f>
        <v>0</v>
      </c>
      <c r="G27" s="14">
        <v>0</v>
      </c>
      <c r="H27" s="14">
        <v>0</v>
      </c>
      <c r="I27" s="11">
        <f>G27/SUM($G$17:$G$28)*Inputs!$G$7*Inputs!$G$77+H27/SUM($H$17:$H$28)*Inputs!$G$74*Inputs!$G$78</f>
        <v>0</v>
      </c>
      <c r="J27" s="11">
        <f>I27*(1-Inputs!$G$90)</f>
        <v>0</v>
      </c>
      <c r="K27" s="14">
        <v>504</v>
      </c>
      <c r="L27" s="14">
        <v>600</v>
      </c>
      <c r="M27" s="16">
        <f>K27/12*((15+Inputs!$G$7)/42)*Inputs!$G$75+L27/12*(Inputs!$G$74/50)*Inputs!$G$76</f>
        <v>1800</v>
      </c>
    </row>
    <row r="28" spans="1:13" x14ac:dyDescent="0.25">
      <c r="A28" s="13">
        <v>2037</v>
      </c>
      <c r="B28" s="11">
        <f>'Lot Schedule'!B25</f>
        <v>0</v>
      </c>
      <c r="C28" s="11">
        <f>'Lot Schedule'!L25</f>
        <v>0</v>
      </c>
      <c r="D28" s="11">
        <f>C28*Inputs!$G$88+Inputs!$G$89*B28/Inputs!$G$7</f>
        <v>0</v>
      </c>
      <c r="E28" s="11">
        <f t="shared" si="1"/>
        <v>0</v>
      </c>
      <c r="F28" s="11">
        <f>B28*Inputs!$G$51</f>
        <v>0</v>
      </c>
      <c r="G28" s="14">
        <v>0</v>
      </c>
      <c r="H28" s="14">
        <v>0</v>
      </c>
      <c r="I28" s="11">
        <f>G28/SUM($G$17:$G$28)*Inputs!$G$7*Inputs!$G$77+H28/SUM($H$17:$H$28)*Inputs!$G$74*Inputs!$G$78</f>
        <v>0</v>
      </c>
      <c r="J28" s="11">
        <f>I28*(1-Inputs!$G$90)</f>
        <v>0</v>
      </c>
      <c r="K28" s="14">
        <v>504</v>
      </c>
      <c r="L28" s="14">
        <v>600</v>
      </c>
      <c r="M28" s="16">
        <f>K28/12*((15+Inputs!$G$7)/42)*Inputs!$G$75+L28/12*(Inputs!$G$74/50)*Inputs!$G$76</f>
        <v>1800</v>
      </c>
    </row>
    <row r="29" spans="1:13" s="6" customFormat="1" x14ac:dyDescent="0.25">
      <c r="A29" s="3" t="s">
        <v>150</v>
      </c>
      <c r="B29" s="12">
        <f t="shared" ref="B29:M29" si="2">SUM(B17:B28)</f>
        <v>27</v>
      </c>
      <c r="C29" s="12">
        <f t="shared" si="2"/>
        <v>146000</v>
      </c>
      <c r="D29" s="12">
        <f t="shared" si="2"/>
        <v>4745</v>
      </c>
      <c r="E29" s="12">
        <f t="shared" si="2"/>
        <v>141255</v>
      </c>
      <c r="F29" s="12">
        <f t="shared" si="2"/>
        <v>32400</v>
      </c>
      <c r="G29" s="3">
        <f t="shared" si="2"/>
        <v>27</v>
      </c>
      <c r="H29" s="3">
        <f t="shared" si="2"/>
        <v>50</v>
      </c>
      <c r="I29" s="12">
        <f t="shared" si="2"/>
        <v>8950</v>
      </c>
      <c r="J29" s="12">
        <f t="shared" si="2"/>
        <v>8860.5</v>
      </c>
      <c r="K29" s="3">
        <f t="shared" si="2"/>
        <v>4866</v>
      </c>
      <c r="L29" s="3">
        <f t="shared" si="2"/>
        <v>5851</v>
      </c>
      <c r="M29" s="15">
        <f t="shared" si="2"/>
        <v>17451.25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28AE-6051-430D-9D8C-A3689C8F817E}">
  <dimension ref="A1:D45"/>
  <sheetViews>
    <sheetView workbookViewId="0"/>
  </sheetViews>
  <sheetFormatPr defaultRowHeight="15" x14ac:dyDescent="0.25"/>
  <cols>
    <col min="1" max="1" width="30.7109375" customWidth="1"/>
    <col min="2" max="2" width="16.7109375" customWidth="1"/>
    <col min="3" max="3" width="26.7109375" customWidth="1"/>
    <col min="4" max="4" width="42.7109375" customWidth="1"/>
  </cols>
  <sheetData>
    <row r="1" spans="1:4" ht="17.25" x14ac:dyDescent="0.3">
      <c r="A1" s="4" t="s">
        <v>211</v>
      </c>
      <c r="B1" s="1"/>
      <c r="C1" s="1"/>
      <c r="D1" s="1"/>
    </row>
    <row r="2" spans="1:4" x14ac:dyDescent="0.25">
      <c r="A2" s="5" t="s">
        <v>212</v>
      </c>
      <c r="B2" s="1"/>
      <c r="C2" s="1"/>
      <c r="D2" s="1"/>
    </row>
    <row r="3" spans="1:4" x14ac:dyDescent="0.25">
      <c r="A3" s="3" t="s">
        <v>137</v>
      </c>
      <c r="B3" s="3" t="str">
        <f>Inputs!B3</f>
        <v>Base</v>
      </c>
      <c r="C3" s="1"/>
      <c r="D3" s="1"/>
    </row>
    <row r="4" spans="1:4" x14ac:dyDescent="0.25">
      <c r="A4" s="1"/>
      <c r="B4" s="1"/>
      <c r="C4" s="1"/>
      <c r="D4" s="1"/>
    </row>
    <row r="5" spans="1:4" s="6" customFormat="1" x14ac:dyDescent="0.25">
      <c r="A5" s="8" t="s">
        <v>213</v>
      </c>
      <c r="B5" s="8"/>
      <c r="C5" s="8"/>
      <c r="D5" s="8"/>
    </row>
    <row r="6" spans="1:4" s="6" customFormat="1" x14ac:dyDescent="0.25">
      <c r="A6" s="10" t="s">
        <v>214</v>
      </c>
      <c r="B6" s="10" t="s">
        <v>215</v>
      </c>
      <c r="C6" s="10" t="s">
        <v>216</v>
      </c>
      <c r="D6" s="10" t="s">
        <v>180</v>
      </c>
    </row>
    <row r="7" spans="1:4" s="6" customFormat="1" x14ac:dyDescent="0.25">
      <c r="A7" s="17" t="s">
        <v>217</v>
      </c>
      <c r="B7" s="17"/>
      <c r="C7" s="17"/>
      <c r="D7" s="17"/>
    </row>
    <row r="8" spans="1:4" x14ac:dyDescent="0.25">
      <c r="A8" s="1" t="s">
        <v>218</v>
      </c>
      <c r="B8" s="19">
        <f>Inputs!G30*Inputs!G31</f>
        <v>39974.699999999997</v>
      </c>
      <c r="C8" s="1" t="s">
        <v>219</v>
      </c>
      <c r="D8" s="1" t="s">
        <v>220</v>
      </c>
    </row>
    <row r="9" spans="1:4" x14ac:dyDescent="0.25">
      <c r="A9" s="1" t="s">
        <v>221</v>
      </c>
      <c r="B9" s="19">
        <f>Inputs!G32</f>
        <v>2937</v>
      </c>
      <c r="C9" s="1" t="s">
        <v>222</v>
      </c>
      <c r="D9" s="1" t="s">
        <v>223</v>
      </c>
    </row>
    <row r="10" spans="1:4" x14ac:dyDescent="0.25">
      <c r="A10" s="1" t="s">
        <v>224</v>
      </c>
      <c r="B10" s="19">
        <f>Inputs!G33</f>
        <v>3514</v>
      </c>
      <c r="C10" s="1" t="s">
        <v>222</v>
      </c>
      <c r="D10" s="1" t="s">
        <v>225</v>
      </c>
    </row>
    <row r="11" spans="1:4" s="6" customFormat="1" x14ac:dyDescent="0.25">
      <c r="A11" s="3" t="s">
        <v>226</v>
      </c>
      <c r="B11" s="20">
        <f>SUM(B8:B10)</f>
        <v>46425.7</v>
      </c>
      <c r="C11" s="3"/>
      <c r="D11" s="3"/>
    </row>
    <row r="12" spans="1:4" s="6" customFormat="1" x14ac:dyDescent="0.25">
      <c r="A12" s="17" t="s">
        <v>227</v>
      </c>
      <c r="B12" s="21"/>
      <c r="C12" s="17"/>
      <c r="D12" s="17"/>
    </row>
    <row r="13" spans="1:4" x14ac:dyDescent="0.25">
      <c r="A13" s="1" t="s">
        <v>228</v>
      </c>
      <c r="B13" s="19">
        <f>Inputs!G36*Inputs!G8</f>
        <v>3000</v>
      </c>
      <c r="C13" s="1" t="s">
        <v>229</v>
      </c>
      <c r="D13" s="1" t="s">
        <v>230</v>
      </c>
    </row>
    <row r="14" spans="1:4" x14ac:dyDescent="0.25">
      <c r="A14" s="1" t="s">
        <v>231</v>
      </c>
      <c r="B14" s="19">
        <f>Inputs!G37*Inputs!G8*Inputs!G91</f>
        <v>750</v>
      </c>
      <c r="C14" s="1" t="s">
        <v>232</v>
      </c>
      <c r="D14" s="1" t="s">
        <v>233</v>
      </c>
    </row>
    <row r="15" spans="1:4" x14ac:dyDescent="0.25">
      <c r="A15" s="1" t="s">
        <v>234</v>
      </c>
      <c r="B15" s="19">
        <f>IF(Inputs!G7&gt;Inputs!G40,Inputs!G38*(1+Inputs!G41),Inputs!G38)*Inputs!G39</f>
        <v>5523</v>
      </c>
      <c r="C15" s="1" t="s">
        <v>235</v>
      </c>
      <c r="D15" s="1" t="s">
        <v>236</v>
      </c>
    </row>
    <row r="16" spans="1:4" x14ac:dyDescent="0.25">
      <c r="A16" s="1" t="s">
        <v>237</v>
      </c>
      <c r="B16" s="19">
        <f>Inputs!G42</f>
        <v>2000</v>
      </c>
      <c r="C16" s="1" t="s">
        <v>222</v>
      </c>
      <c r="D16" s="1"/>
    </row>
    <row r="17" spans="1:4" x14ac:dyDescent="0.25">
      <c r="A17" s="1" t="s">
        <v>238</v>
      </c>
      <c r="B17" s="19">
        <f>Inputs!G43</f>
        <v>295</v>
      </c>
      <c r="C17" s="1" t="s">
        <v>222</v>
      </c>
      <c r="D17" s="1"/>
    </row>
    <row r="18" spans="1:4" x14ac:dyDescent="0.25">
      <c r="A18" s="1" t="s">
        <v>239</v>
      </c>
      <c r="B18" s="19">
        <f>Inputs!G44</f>
        <v>3750</v>
      </c>
      <c r="C18" s="1" t="s">
        <v>222</v>
      </c>
      <c r="D18" s="1" t="s">
        <v>240</v>
      </c>
    </row>
    <row r="19" spans="1:4" s="6" customFormat="1" x14ac:dyDescent="0.25">
      <c r="A19" s="3" t="s">
        <v>241</v>
      </c>
      <c r="B19" s="20">
        <f>SUM(B13:B18)</f>
        <v>15318</v>
      </c>
      <c r="C19" s="3"/>
      <c r="D19" s="3"/>
    </row>
    <row r="20" spans="1:4" s="6" customFormat="1" x14ac:dyDescent="0.25">
      <c r="A20" s="17" t="s">
        <v>242</v>
      </c>
      <c r="B20" s="21"/>
      <c r="C20" s="17"/>
      <c r="D20" s="17"/>
    </row>
    <row r="21" spans="1:4" x14ac:dyDescent="0.25">
      <c r="A21" s="1" t="s">
        <v>243</v>
      </c>
      <c r="B21" s="19">
        <f>B8+B9+B19</f>
        <v>58229.7</v>
      </c>
      <c r="C21" s="1" t="s">
        <v>244</v>
      </c>
      <c r="D21" s="1" t="s">
        <v>245</v>
      </c>
    </row>
    <row r="22" spans="1:4" x14ac:dyDescent="0.25">
      <c r="A22" s="1" t="s">
        <v>246</v>
      </c>
      <c r="B22" s="19">
        <f>B21*Inputs!G47</f>
        <v>3159.9453069299998</v>
      </c>
      <c r="C22" s="1" t="s">
        <v>247</v>
      </c>
      <c r="D22" s="1"/>
    </row>
    <row r="23" spans="1:4" x14ac:dyDescent="0.25">
      <c r="A23" s="1" t="s">
        <v>248</v>
      </c>
      <c r="B23" s="19">
        <f>B21*Inputs!G48</f>
        <v>2499.956494299</v>
      </c>
      <c r="C23" s="1" t="s">
        <v>249</v>
      </c>
      <c r="D23" s="1"/>
    </row>
    <row r="24" spans="1:4" s="6" customFormat="1" x14ac:dyDescent="0.25">
      <c r="A24" s="3" t="s">
        <v>250</v>
      </c>
      <c r="B24" s="20">
        <f>B22+B23</f>
        <v>5659.9018012289998</v>
      </c>
      <c r="C24" s="3"/>
      <c r="D24" s="3"/>
    </row>
    <row r="25" spans="1:4" x14ac:dyDescent="0.25">
      <c r="A25" s="1"/>
      <c r="B25" s="19"/>
      <c r="C25" s="1"/>
      <c r="D25" s="1"/>
    </row>
    <row r="26" spans="1:4" x14ac:dyDescent="0.25">
      <c r="A26" s="18" t="s">
        <v>251</v>
      </c>
      <c r="B26" s="22">
        <f>B11+B19+B24</f>
        <v>67403.601801229001</v>
      </c>
      <c r="C26" s="1"/>
      <c r="D26" s="1"/>
    </row>
    <row r="27" spans="1:4" x14ac:dyDescent="0.25">
      <c r="A27" s="3" t="s">
        <v>252</v>
      </c>
      <c r="B27" s="20">
        <v>67403.72</v>
      </c>
      <c r="C27" s="1"/>
      <c r="D27" s="1"/>
    </row>
    <row r="28" spans="1:4" x14ac:dyDescent="0.25">
      <c r="A28" s="3" t="s">
        <v>253</v>
      </c>
      <c r="B28" s="20">
        <f>B26-B27</f>
        <v>-0.11819877100060694</v>
      </c>
      <c r="C28" s="1"/>
      <c r="D28" s="1"/>
    </row>
    <row r="29" spans="1:4" x14ac:dyDescent="0.25">
      <c r="A29" s="1"/>
      <c r="B29" s="1"/>
      <c r="C29" s="1"/>
      <c r="D29" s="1"/>
    </row>
    <row r="30" spans="1:4" s="6" customFormat="1" x14ac:dyDescent="0.25">
      <c r="A30" s="8" t="s">
        <v>254</v>
      </c>
      <c r="B30" s="8"/>
      <c r="C30" s="8"/>
      <c r="D30" s="8"/>
    </row>
    <row r="31" spans="1:4" x14ac:dyDescent="0.25">
      <c r="A31" s="5" t="s">
        <v>255</v>
      </c>
      <c r="B31" s="1"/>
      <c r="C31" s="1"/>
      <c r="D31" s="1"/>
    </row>
    <row r="32" spans="1:4" s="6" customFormat="1" x14ac:dyDescent="0.25">
      <c r="A32" s="10" t="s">
        <v>153</v>
      </c>
      <c r="B32" s="10" t="s">
        <v>256</v>
      </c>
      <c r="C32" s="10" t="s">
        <v>257</v>
      </c>
      <c r="D32" s="10"/>
    </row>
    <row r="33" spans="1:4" x14ac:dyDescent="0.25">
      <c r="A33" s="1">
        <v>2026</v>
      </c>
      <c r="B33" s="23">
        <v>4.4313400000000003E-2</v>
      </c>
      <c r="C33" s="16">
        <f t="shared" ref="C33:C44" si="0">B33*$B$26</f>
        <v>2986.8827680585814</v>
      </c>
      <c r="D33" s="1"/>
    </row>
    <row r="34" spans="1:4" x14ac:dyDescent="0.25">
      <c r="A34" s="1">
        <v>2027</v>
      </c>
      <c r="B34" s="23">
        <v>8.6959700000000001E-2</v>
      </c>
      <c r="C34" s="16">
        <f t="shared" si="0"/>
        <v>5861.3969915543339</v>
      </c>
      <c r="D34" s="1"/>
    </row>
    <row r="35" spans="1:4" x14ac:dyDescent="0.25">
      <c r="A35" s="1">
        <v>2028</v>
      </c>
      <c r="B35" s="23">
        <v>0.17371539999999999</v>
      </c>
      <c r="C35" s="16">
        <f t="shared" si="0"/>
        <v>11709.043648341216</v>
      </c>
      <c r="D35" s="1"/>
    </row>
    <row r="36" spans="1:4" x14ac:dyDescent="0.25">
      <c r="A36" s="1">
        <v>2029</v>
      </c>
      <c r="B36" s="23">
        <v>0.24669279999999999</v>
      </c>
      <c r="C36" s="16">
        <f t="shared" si="0"/>
        <v>16627.983258430224</v>
      </c>
      <c r="D36" s="1"/>
    </row>
    <row r="37" spans="1:4" x14ac:dyDescent="0.25">
      <c r="A37" s="1">
        <v>2030</v>
      </c>
      <c r="B37" s="23">
        <v>0.26052789999999998</v>
      </c>
      <c r="C37" s="16">
        <f t="shared" si="0"/>
        <v>17560.518829710407</v>
      </c>
      <c r="D37" s="1"/>
    </row>
    <row r="38" spans="1:4" x14ac:dyDescent="0.25">
      <c r="A38" s="1">
        <v>2031</v>
      </c>
      <c r="B38" s="23">
        <v>0.18314520000000001</v>
      </c>
      <c r="C38" s="16">
        <f t="shared" si="0"/>
        <v>12344.646132606445</v>
      </c>
      <c r="D38" s="1"/>
    </row>
    <row r="39" spans="1:4" x14ac:dyDescent="0.25">
      <c r="A39" s="1">
        <v>2032</v>
      </c>
      <c r="B39" s="23">
        <v>4.6458000000000003E-3</v>
      </c>
      <c r="C39" s="16">
        <f t="shared" si="0"/>
        <v>313.14365324814969</v>
      </c>
      <c r="D39" s="1"/>
    </row>
    <row r="40" spans="1:4" x14ac:dyDescent="0.25">
      <c r="A40" s="1">
        <v>2033</v>
      </c>
      <c r="B40" s="23">
        <v>0</v>
      </c>
      <c r="C40" s="16">
        <f t="shared" si="0"/>
        <v>0</v>
      </c>
      <c r="D40" s="1"/>
    </row>
    <row r="41" spans="1:4" x14ac:dyDescent="0.25">
      <c r="A41" s="1">
        <v>2034</v>
      </c>
      <c r="B41" s="23">
        <v>0</v>
      </c>
      <c r="C41" s="16">
        <f t="shared" si="0"/>
        <v>0</v>
      </c>
      <c r="D41" s="1"/>
    </row>
    <row r="42" spans="1:4" x14ac:dyDescent="0.25">
      <c r="A42" s="1">
        <v>2035</v>
      </c>
      <c r="B42" s="23">
        <v>0</v>
      </c>
      <c r="C42" s="16">
        <f t="shared" si="0"/>
        <v>0</v>
      </c>
      <c r="D42" s="1"/>
    </row>
    <row r="43" spans="1:4" x14ac:dyDescent="0.25">
      <c r="A43" s="1">
        <v>2036</v>
      </c>
      <c r="B43" s="23">
        <v>0</v>
      </c>
      <c r="C43" s="16">
        <f t="shared" si="0"/>
        <v>0</v>
      </c>
      <c r="D43" s="1"/>
    </row>
    <row r="44" spans="1:4" x14ac:dyDescent="0.25">
      <c r="A44" s="1">
        <v>2037</v>
      </c>
      <c r="B44" s="23">
        <v>0</v>
      </c>
      <c r="C44" s="16">
        <f t="shared" si="0"/>
        <v>0</v>
      </c>
      <c r="D44" s="1"/>
    </row>
    <row r="45" spans="1:4" s="6" customFormat="1" x14ac:dyDescent="0.25">
      <c r="A45" s="3" t="s">
        <v>150</v>
      </c>
      <c r="B45" s="3">
        <f>SUM(B33:B44)</f>
        <v>1.0000002000000001</v>
      </c>
      <c r="C45" s="15">
        <f>SUM(C33:C44)</f>
        <v>67403.615281949344</v>
      </c>
      <c r="D4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0F673-D4DE-4D8F-98D3-08F0AA29DC8F}">
  <dimension ref="A1:K32"/>
  <sheetViews>
    <sheetView workbookViewId="0">
      <pane ySplit="19" topLeftCell="A20" activePane="bottomLeft" state="frozenSplit"/>
      <selection pane="bottomLeft"/>
    </sheetView>
  </sheetViews>
  <sheetFormatPr defaultRowHeight="15" x14ac:dyDescent="0.25"/>
  <cols>
    <col min="1" max="1" width="20.7109375" customWidth="1"/>
    <col min="2" max="8" width="15.7109375" customWidth="1"/>
    <col min="9" max="9" width="18.7109375" customWidth="1"/>
    <col min="10" max="11" width="15.7109375" customWidth="1"/>
  </cols>
  <sheetData>
    <row r="1" spans="1:11" ht="17.25" x14ac:dyDescent="0.3">
      <c r="A1" s="4" t="s">
        <v>260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5" t="s">
        <v>279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3" t="s">
        <v>137</v>
      </c>
      <c r="B3" s="3" t="str">
        <f>Inputs!B3</f>
        <v>Base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s="6" customFormat="1" x14ac:dyDescent="0.25">
      <c r="A5" s="8" t="s">
        <v>261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s="6" customFormat="1" x14ac:dyDescent="0.25">
      <c r="A6" s="10" t="s">
        <v>176</v>
      </c>
      <c r="B6" s="10" t="s">
        <v>262</v>
      </c>
      <c r="C6" s="10" t="s">
        <v>178</v>
      </c>
      <c r="D6" s="10" t="s">
        <v>179</v>
      </c>
      <c r="E6" s="10" t="s">
        <v>180</v>
      </c>
      <c r="F6" s="10"/>
      <c r="G6" s="10"/>
      <c r="H6" s="10"/>
      <c r="I6" s="10"/>
      <c r="J6" s="10"/>
      <c r="K6" s="10"/>
    </row>
    <row r="7" spans="1:11" x14ac:dyDescent="0.25">
      <c r="A7" s="18" t="s">
        <v>263</v>
      </c>
      <c r="B7" s="22">
        <f>H31</f>
        <v>33348.42814797724</v>
      </c>
      <c r="C7" s="19">
        <v>33525.160000000003</v>
      </c>
      <c r="D7" s="19">
        <f>B7-C7</f>
        <v>-176.73185202276363</v>
      </c>
      <c r="E7" s="3" t="s">
        <v>264</v>
      </c>
      <c r="F7" s="1"/>
      <c r="G7" s="1"/>
      <c r="H7" s="1"/>
      <c r="I7" s="1"/>
      <c r="J7" s="1"/>
      <c r="K7" s="1"/>
    </row>
    <row r="8" spans="1:11" x14ac:dyDescent="0.25">
      <c r="A8" s="1" t="s">
        <v>265</v>
      </c>
      <c r="B8" s="19">
        <f>SUM(C20:C31)</f>
        <v>32400</v>
      </c>
      <c r="C8" s="19">
        <v>32400</v>
      </c>
      <c r="D8" s="19">
        <f>B8-C8</f>
        <v>0</v>
      </c>
      <c r="E8" s="1"/>
      <c r="F8" s="1"/>
      <c r="G8" s="1"/>
      <c r="H8" s="1"/>
      <c r="I8" s="1"/>
      <c r="J8" s="1"/>
      <c r="K8" s="1"/>
    </row>
    <row r="9" spans="1:11" x14ac:dyDescent="0.25">
      <c r="A9" s="1" t="s">
        <v>266</v>
      </c>
      <c r="B9" s="19">
        <f>SUM(D20:D31)</f>
        <v>4937.5</v>
      </c>
      <c r="C9" s="19">
        <v>4937.5</v>
      </c>
      <c r="D9" s="19">
        <f>B9-C9</f>
        <v>0</v>
      </c>
      <c r="E9" s="1"/>
      <c r="F9" s="1"/>
      <c r="G9" s="1"/>
      <c r="H9" s="1"/>
      <c r="I9" s="1"/>
      <c r="J9" s="1"/>
      <c r="K9" s="1"/>
    </row>
    <row r="10" spans="1:11" x14ac:dyDescent="0.25">
      <c r="A10" s="1" t="s">
        <v>267</v>
      </c>
      <c r="B10" s="19">
        <f>SUM(E20:E31)</f>
        <v>-23776.35</v>
      </c>
      <c r="C10" s="19">
        <v>-23776.35</v>
      </c>
      <c r="D10" s="19">
        <f>B10-C10</f>
        <v>0</v>
      </c>
      <c r="E10" s="1"/>
      <c r="F10" s="1"/>
      <c r="G10" s="1"/>
      <c r="H10" s="1"/>
      <c r="I10" s="1"/>
      <c r="J10" s="1"/>
      <c r="K10" s="1"/>
    </row>
    <row r="11" spans="1:11" x14ac:dyDescent="0.25">
      <c r="A11" s="1" t="s">
        <v>268</v>
      </c>
      <c r="B11" s="19">
        <f>SUM(G20:G31)</f>
        <v>18787.278147977242</v>
      </c>
      <c r="C11" s="19">
        <v>18964.009999999998</v>
      </c>
      <c r="D11" s="19">
        <f>B11-C11</f>
        <v>-176.73185202275636</v>
      </c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s="6" customFormat="1" x14ac:dyDescent="0.25">
      <c r="A13" s="8" t="s">
        <v>280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x14ac:dyDescent="0.25">
      <c r="A14" s="5" t="s">
        <v>281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3" t="s">
        <v>282</v>
      </c>
      <c r="B15" s="26">
        <f>(1+Inputs!G52/12)^12-1</f>
        <v>7.2290080856235894E-2</v>
      </c>
      <c r="C15" s="1" t="s">
        <v>283</v>
      </c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3" t="s">
        <v>284</v>
      </c>
      <c r="B16" s="3">
        <v>0.45800000000000002</v>
      </c>
      <c r="C16" s="1" t="s">
        <v>285</v>
      </c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s="6" customFormat="1" x14ac:dyDescent="0.25">
      <c r="A18" s="8" t="s">
        <v>269</v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s="6" customFormat="1" x14ac:dyDescent="0.25">
      <c r="A19" s="10" t="s">
        <v>153</v>
      </c>
      <c r="B19" s="10" t="s">
        <v>270</v>
      </c>
      <c r="C19" s="10" t="s">
        <v>271</v>
      </c>
      <c r="D19" s="10" t="s">
        <v>272</v>
      </c>
      <c r="E19" s="10" t="s">
        <v>273</v>
      </c>
      <c r="F19" s="10" t="s">
        <v>274</v>
      </c>
      <c r="G19" s="10" t="s">
        <v>275</v>
      </c>
      <c r="H19" s="10" t="s">
        <v>276</v>
      </c>
      <c r="I19" s="10" t="s">
        <v>286</v>
      </c>
      <c r="J19" s="10" t="s">
        <v>277</v>
      </c>
      <c r="K19" s="10" t="s">
        <v>278</v>
      </c>
    </row>
    <row r="20" spans="1:11" x14ac:dyDescent="0.25">
      <c r="A20" s="13">
        <v>2026</v>
      </c>
      <c r="B20" s="19">
        <f>Inputs!G92</f>
        <v>1000</v>
      </c>
      <c r="C20" s="19">
        <f>I20/SUM($I$20:$I$31)*Inputs!$G$7*Inputs!$G$51</f>
        <v>0</v>
      </c>
      <c r="D20" s="19">
        <f>Inputs!$G$53*K20</f>
        <v>0</v>
      </c>
      <c r="E20" s="19">
        <f>-J20*(Inputs!$G$54/0.6)</f>
        <v>-542.9</v>
      </c>
      <c r="F20" s="19">
        <f t="shared" ref="F20:F31" si="0">B20+0.5*C20+0.5*D20+$B$16*E20</f>
        <v>751.35180000000003</v>
      </c>
      <c r="G20" s="19">
        <f t="shared" ref="G20:G31" si="1">$B$15*F20</f>
        <v>54.315282373478382</v>
      </c>
      <c r="H20" s="19">
        <f t="shared" ref="H20:H31" si="2">B20+C20+D20+E20+G20</f>
        <v>511.41528237347842</v>
      </c>
      <c r="I20" s="14">
        <v>0</v>
      </c>
      <c r="J20" s="24">
        <v>542.9</v>
      </c>
      <c r="K20" s="25">
        <v>0</v>
      </c>
    </row>
    <row r="21" spans="1:11" x14ac:dyDescent="0.25">
      <c r="A21" s="13">
        <v>2027</v>
      </c>
      <c r="B21" s="19">
        <f t="shared" ref="B21:B31" si="3">H20</f>
        <v>511.41528237347842</v>
      </c>
      <c r="C21" s="19">
        <f>I21/SUM($I$20:$I$31)*Inputs!$G$7*Inputs!$G$51</f>
        <v>2400</v>
      </c>
      <c r="D21" s="19">
        <f>Inputs!$G$53*K21</f>
        <v>62.5</v>
      </c>
      <c r="E21" s="19">
        <f>-J21*(Inputs!$G$54/0.6)</f>
        <v>-515.75</v>
      </c>
      <c r="F21" s="19">
        <f t="shared" si="0"/>
        <v>1506.4517823734784</v>
      </c>
      <c r="G21" s="19">
        <f t="shared" si="1"/>
        <v>108.90152115379944</v>
      </c>
      <c r="H21" s="19">
        <f t="shared" si="2"/>
        <v>2567.0668035272779</v>
      </c>
      <c r="I21" s="14">
        <v>2</v>
      </c>
      <c r="J21" s="24">
        <v>515.75</v>
      </c>
      <c r="K21" s="25">
        <v>0.125</v>
      </c>
    </row>
    <row r="22" spans="1:11" x14ac:dyDescent="0.25">
      <c r="A22" s="13">
        <v>2028</v>
      </c>
      <c r="B22" s="19">
        <f t="shared" si="3"/>
        <v>2567.0668035272779</v>
      </c>
      <c r="C22" s="19">
        <f>I22/SUM($I$20:$I$31)*Inputs!$G$7*Inputs!$G$51</f>
        <v>7200</v>
      </c>
      <c r="D22" s="19">
        <f>Inputs!$G$53*K22</f>
        <v>375</v>
      </c>
      <c r="E22" s="19">
        <f>-J22*(Inputs!$G$54/0.6)</f>
        <v>-1353.55</v>
      </c>
      <c r="F22" s="19">
        <f t="shared" si="0"/>
        <v>5734.6409035272773</v>
      </c>
      <c r="G22" s="19">
        <f t="shared" si="1"/>
        <v>414.55765459746453</v>
      </c>
      <c r="H22" s="19">
        <f t="shared" si="2"/>
        <v>9203.0744581247418</v>
      </c>
      <c r="I22" s="14">
        <v>6</v>
      </c>
      <c r="J22" s="24">
        <v>1353.55</v>
      </c>
      <c r="K22" s="25">
        <v>0.75</v>
      </c>
    </row>
    <row r="23" spans="1:11" x14ac:dyDescent="0.25">
      <c r="A23" s="13">
        <v>2029</v>
      </c>
      <c r="B23" s="19">
        <f t="shared" si="3"/>
        <v>9203.0744581247418</v>
      </c>
      <c r="C23" s="19">
        <f>I23/SUM($I$20:$I$31)*Inputs!$G$7*Inputs!$G$51</f>
        <v>8400</v>
      </c>
      <c r="D23" s="19">
        <f>Inputs!$G$53*K23</f>
        <v>500</v>
      </c>
      <c r="E23" s="19">
        <f>-J23*(Inputs!$G$54/0.6)</f>
        <v>-1712.45</v>
      </c>
      <c r="F23" s="19">
        <f t="shared" si="0"/>
        <v>12868.772358124741</v>
      </c>
      <c r="G23" s="19">
        <f t="shared" si="1"/>
        <v>930.28459428933104</v>
      </c>
      <c r="H23" s="19">
        <f t="shared" si="2"/>
        <v>17320.909052414074</v>
      </c>
      <c r="I23" s="14">
        <v>7</v>
      </c>
      <c r="J23" s="24">
        <v>1712.45</v>
      </c>
      <c r="K23" s="25">
        <v>1</v>
      </c>
    </row>
    <row r="24" spans="1:11" x14ac:dyDescent="0.25">
      <c r="A24" s="13">
        <v>2030</v>
      </c>
      <c r="B24" s="19">
        <f t="shared" si="3"/>
        <v>17320.909052414074</v>
      </c>
      <c r="C24" s="19">
        <f>I24/SUM($I$20:$I$31)*Inputs!$G$7*Inputs!$G$51</f>
        <v>9600</v>
      </c>
      <c r="D24" s="19">
        <f>Inputs!$G$53*K24</f>
        <v>500</v>
      </c>
      <c r="E24" s="19">
        <f>-J24*(Inputs!$G$54/0.6)</f>
        <v>-2137.89</v>
      </c>
      <c r="F24" s="19">
        <f t="shared" si="0"/>
        <v>21391.755432414073</v>
      </c>
      <c r="G24" s="19">
        <f t="shared" si="1"/>
        <v>1546.4117298660367</v>
      </c>
      <c r="H24" s="19">
        <f t="shared" si="2"/>
        <v>26829.430782280113</v>
      </c>
      <c r="I24" s="14">
        <v>8</v>
      </c>
      <c r="J24" s="24">
        <v>2137.89</v>
      </c>
      <c r="K24" s="25">
        <v>1</v>
      </c>
    </row>
    <row r="25" spans="1:11" x14ac:dyDescent="0.25">
      <c r="A25" s="13">
        <v>2031</v>
      </c>
      <c r="B25" s="19">
        <f t="shared" si="3"/>
        <v>26829.430782280113</v>
      </c>
      <c r="C25" s="19">
        <f>I25/SUM($I$20:$I$31)*Inputs!$G$7*Inputs!$G$51</f>
        <v>4800</v>
      </c>
      <c r="D25" s="19">
        <f>Inputs!$G$53*K25</f>
        <v>500</v>
      </c>
      <c r="E25" s="19">
        <f>-J25*(Inputs!$G$54/0.6)</f>
        <v>-2404.0500000000002</v>
      </c>
      <c r="F25" s="19">
        <f t="shared" si="0"/>
        <v>28378.375882280114</v>
      </c>
      <c r="G25" s="19">
        <f t="shared" si="1"/>
        <v>2051.4750870986841</v>
      </c>
      <c r="H25" s="19">
        <f t="shared" si="2"/>
        <v>31776.855869378796</v>
      </c>
      <c r="I25" s="14">
        <v>4</v>
      </c>
      <c r="J25" s="24">
        <v>2404.0500000000002</v>
      </c>
      <c r="K25" s="25">
        <v>1</v>
      </c>
    </row>
    <row r="26" spans="1:11" x14ac:dyDescent="0.25">
      <c r="A26" s="13">
        <v>2032</v>
      </c>
      <c r="B26" s="19">
        <f t="shared" si="3"/>
        <v>31776.855869378796</v>
      </c>
      <c r="C26" s="19">
        <f>I26/SUM($I$20:$I$31)*Inputs!$G$7*Inputs!$G$51</f>
        <v>0</v>
      </c>
      <c r="D26" s="19">
        <f>Inputs!$G$53*K26</f>
        <v>500</v>
      </c>
      <c r="E26" s="19">
        <f>-J26*(Inputs!$G$54/0.6)</f>
        <v>-2461.16</v>
      </c>
      <c r="F26" s="19">
        <f t="shared" si="0"/>
        <v>30899.644589378797</v>
      </c>
      <c r="G26" s="19">
        <f t="shared" si="1"/>
        <v>2233.7378057951451</v>
      </c>
      <c r="H26" s="19">
        <f t="shared" si="2"/>
        <v>32049.433675173943</v>
      </c>
      <c r="I26" s="14">
        <v>0</v>
      </c>
      <c r="J26" s="24">
        <v>2461.16</v>
      </c>
      <c r="K26" s="25">
        <v>1</v>
      </c>
    </row>
    <row r="27" spans="1:11" x14ac:dyDescent="0.25">
      <c r="A27" s="13">
        <v>2033</v>
      </c>
      <c r="B27" s="19">
        <f t="shared" si="3"/>
        <v>32049.433675173943</v>
      </c>
      <c r="C27" s="19">
        <f>I27/SUM($I$20:$I$31)*Inputs!$G$7*Inputs!$G$51</f>
        <v>0</v>
      </c>
      <c r="D27" s="19">
        <f>Inputs!$G$53*K27</f>
        <v>500</v>
      </c>
      <c r="E27" s="19">
        <f>-J27*(Inputs!$G$54/0.6)</f>
        <v>-2483.12</v>
      </c>
      <c r="F27" s="19">
        <f t="shared" si="0"/>
        <v>31162.164715173942</v>
      </c>
      <c r="G27" s="19">
        <f t="shared" si="1"/>
        <v>2252.7154069152652</v>
      </c>
      <c r="H27" s="19">
        <f t="shared" si="2"/>
        <v>32319.029082089208</v>
      </c>
      <c r="I27" s="14">
        <v>0</v>
      </c>
      <c r="J27" s="24">
        <v>2483.12</v>
      </c>
      <c r="K27" s="25">
        <v>1</v>
      </c>
    </row>
    <row r="28" spans="1:11" x14ac:dyDescent="0.25">
      <c r="A28" s="13">
        <v>2034</v>
      </c>
      <c r="B28" s="19">
        <f t="shared" si="3"/>
        <v>32319.029082089208</v>
      </c>
      <c r="C28" s="19">
        <f>I28/SUM($I$20:$I$31)*Inputs!$G$7*Inputs!$G$51</f>
        <v>0</v>
      </c>
      <c r="D28" s="19">
        <f>Inputs!$G$53*K28</f>
        <v>500</v>
      </c>
      <c r="E28" s="19">
        <f>-J28*(Inputs!$G$54/0.6)</f>
        <v>-2505.73</v>
      </c>
      <c r="F28" s="19">
        <f t="shared" si="0"/>
        <v>31421.404742089209</v>
      </c>
      <c r="G28" s="19">
        <f t="shared" si="1"/>
        <v>2271.4558894221427</v>
      </c>
      <c r="H28" s="19">
        <f t="shared" si="2"/>
        <v>32584.754971511356</v>
      </c>
      <c r="I28" s="14">
        <v>0</v>
      </c>
      <c r="J28" s="24">
        <v>2505.73</v>
      </c>
      <c r="K28" s="25">
        <v>1</v>
      </c>
    </row>
    <row r="29" spans="1:11" x14ac:dyDescent="0.25">
      <c r="A29" s="13">
        <v>2035</v>
      </c>
      <c r="B29" s="19">
        <f t="shared" si="3"/>
        <v>32584.754971511356</v>
      </c>
      <c r="C29" s="19">
        <f>I29/SUM($I$20:$I$31)*Inputs!$G$7*Inputs!$G$51</f>
        <v>0</v>
      </c>
      <c r="D29" s="19">
        <f>Inputs!$G$53*K29</f>
        <v>500</v>
      </c>
      <c r="E29" s="19">
        <f>-J29*(Inputs!$G$54/0.6)</f>
        <v>-2529.02</v>
      </c>
      <c r="F29" s="19">
        <f t="shared" si="0"/>
        <v>31676.463811511356</v>
      </c>
      <c r="G29" s="19">
        <f t="shared" si="1"/>
        <v>2289.8941301737859</v>
      </c>
      <c r="H29" s="19">
        <f t="shared" si="2"/>
        <v>32845.629101685139</v>
      </c>
      <c r="I29" s="14">
        <v>0</v>
      </c>
      <c r="J29" s="24">
        <v>2529.02</v>
      </c>
      <c r="K29" s="25">
        <v>1</v>
      </c>
    </row>
    <row r="30" spans="1:11" x14ac:dyDescent="0.25">
      <c r="A30" s="13">
        <v>2036</v>
      </c>
      <c r="B30" s="19">
        <f t="shared" si="3"/>
        <v>32845.629101685139</v>
      </c>
      <c r="C30" s="19">
        <f>I30/SUM($I$20:$I$31)*Inputs!$G$7*Inputs!$G$51</f>
        <v>0</v>
      </c>
      <c r="D30" s="19">
        <f>Inputs!$G$53*K30</f>
        <v>500</v>
      </c>
      <c r="E30" s="19">
        <f>-J30*(Inputs!$G$54/0.6)</f>
        <v>-2553.0100000000002</v>
      </c>
      <c r="F30" s="19">
        <f t="shared" si="0"/>
        <v>31926.350521685141</v>
      </c>
      <c r="G30" s="19">
        <f t="shared" si="1"/>
        <v>2307.958460657148</v>
      </c>
      <c r="H30" s="19">
        <f t="shared" si="2"/>
        <v>33100.577562342281</v>
      </c>
      <c r="I30" s="14">
        <v>0</v>
      </c>
      <c r="J30" s="24">
        <v>2553.0100000000002</v>
      </c>
      <c r="K30" s="25">
        <v>1</v>
      </c>
    </row>
    <row r="31" spans="1:11" x14ac:dyDescent="0.25">
      <c r="A31" s="13">
        <v>2037</v>
      </c>
      <c r="B31" s="19">
        <f t="shared" si="3"/>
        <v>33100.577562342281</v>
      </c>
      <c r="C31" s="19">
        <f>I31/SUM($I$20:$I$31)*Inputs!$G$7*Inputs!$G$51</f>
        <v>0</v>
      </c>
      <c r="D31" s="19">
        <f>Inputs!$G$53*K31</f>
        <v>500</v>
      </c>
      <c r="E31" s="19">
        <f>-J31*(Inputs!$G$54/0.6)</f>
        <v>-2577.7199999999998</v>
      </c>
      <c r="F31" s="19">
        <f t="shared" si="0"/>
        <v>32169.981802342281</v>
      </c>
      <c r="G31" s="19">
        <f t="shared" si="1"/>
        <v>2325.5705856349609</v>
      </c>
      <c r="H31" s="19">
        <f t="shared" si="2"/>
        <v>33348.42814797724</v>
      </c>
      <c r="I31" s="14">
        <v>0</v>
      </c>
      <c r="J31" s="24">
        <v>2577.7199999999998</v>
      </c>
      <c r="K31" s="25">
        <v>1</v>
      </c>
    </row>
    <row r="32" spans="1:11" s="6" customFormat="1" x14ac:dyDescent="0.25">
      <c r="A32" s="3" t="s">
        <v>150</v>
      </c>
      <c r="B32" s="20"/>
      <c r="C32" s="20">
        <f>SUM(C20:C31)</f>
        <v>32400</v>
      </c>
      <c r="D32" s="20">
        <f>SUM(D20:D31)</f>
        <v>4937.5</v>
      </c>
      <c r="E32" s="20">
        <f>SUM(E20:E31)</f>
        <v>-23776.35</v>
      </c>
      <c r="F32" s="20"/>
      <c r="G32" s="20">
        <f>SUM(G20:G31)</f>
        <v>18787.278147977242</v>
      </c>
      <c r="H32" s="20">
        <f>H31</f>
        <v>33348.42814797724</v>
      </c>
      <c r="I32" s="3">
        <f>SUM(I20:I31)</f>
        <v>27</v>
      </c>
      <c r="J32" s="3"/>
      <c r="K3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8D89-84A5-4B86-8BE7-DCD1589720B2}">
  <dimension ref="A1:G59"/>
  <sheetViews>
    <sheetView workbookViewId="0"/>
  </sheetViews>
  <sheetFormatPr defaultRowHeight="15" x14ac:dyDescent="0.25"/>
  <cols>
    <col min="1" max="1" width="34.7109375" customWidth="1"/>
    <col min="2" max="7" width="16.7109375" customWidth="1"/>
  </cols>
  <sheetData>
    <row r="1" spans="1:7" ht="17.25" x14ac:dyDescent="0.3">
      <c r="A1" s="4" t="s">
        <v>287</v>
      </c>
      <c r="B1" s="1"/>
      <c r="C1" s="1"/>
      <c r="D1" s="1"/>
      <c r="E1" s="1"/>
      <c r="F1" s="1"/>
      <c r="G1" s="1"/>
    </row>
    <row r="2" spans="1:7" x14ac:dyDescent="0.25">
      <c r="A2" s="5" t="s">
        <v>288</v>
      </c>
      <c r="B2" s="1"/>
      <c r="C2" s="1"/>
      <c r="D2" s="1"/>
      <c r="E2" s="1"/>
      <c r="F2" s="1"/>
      <c r="G2" s="1"/>
    </row>
    <row r="3" spans="1:7" x14ac:dyDescent="0.25">
      <c r="A3" s="3" t="s">
        <v>137</v>
      </c>
      <c r="B3" s="3" t="str">
        <f>Inputs!B3</f>
        <v>Base</v>
      </c>
      <c r="C3" s="1"/>
      <c r="D3" s="1"/>
      <c r="E3" s="1"/>
      <c r="F3" s="1"/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spans="1:7" s="6" customFormat="1" x14ac:dyDescent="0.25">
      <c r="A5" s="8" t="s">
        <v>289</v>
      </c>
      <c r="B5" s="8"/>
      <c r="C5" s="8"/>
      <c r="D5" s="8"/>
      <c r="E5" s="8"/>
      <c r="F5" s="8"/>
      <c r="G5" s="8"/>
    </row>
    <row r="6" spans="1:7" s="6" customFormat="1" x14ac:dyDescent="0.25">
      <c r="A6" s="10" t="s">
        <v>290</v>
      </c>
      <c r="B6" s="10" t="s">
        <v>291</v>
      </c>
      <c r="C6" s="10" t="s">
        <v>292</v>
      </c>
      <c r="D6" s="10" t="s">
        <v>293</v>
      </c>
      <c r="E6" s="10" t="s">
        <v>294</v>
      </c>
      <c r="F6" s="10" t="s">
        <v>295</v>
      </c>
      <c r="G6" s="10"/>
    </row>
    <row r="7" spans="1:7" x14ac:dyDescent="0.25">
      <c r="A7" s="1" t="s">
        <v>296</v>
      </c>
      <c r="B7" s="19">
        <v>11000</v>
      </c>
      <c r="C7" s="30">
        <v>0.06</v>
      </c>
      <c r="D7" s="1">
        <v>20</v>
      </c>
      <c r="E7" s="1">
        <v>6</v>
      </c>
      <c r="F7" s="27">
        <f>PMT(C7,D7,-B7)</f>
        <v>959.03012674536592</v>
      </c>
      <c r="G7" s="1"/>
    </row>
    <row r="8" spans="1:7" x14ac:dyDescent="0.25">
      <c r="A8" s="1" t="s">
        <v>297</v>
      </c>
      <c r="B8" s="19">
        <v>13000</v>
      </c>
      <c r="C8" s="30">
        <v>0.04</v>
      </c>
      <c r="D8" s="1">
        <v>30</v>
      </c>
      <c r="E8" s="1">
        <v>6</v>
      </c>
      <c r="F8" s="27">
        <f>PMT(C8,D8,-B8)</f>
        <v>751.79128873759737</v>
      </c>
      <c r="G8" s="1"/>
    </row>
    <row r="9" spans="1:7" x14ac:dyDescent="0.25">
      <c r="A9" s="1" t="s">
        <v>298</v>
      </c>
      <c r="B9" s="19">
        <f>Inputs!G66</f>
        <v>7.4999999999999997E-2</v>
      </c>
      <c r="C9" s="30"/>
      <c r="D9" s="1"/>
      <c r="E9" s="1"/>
      <c r="F9" s="1"/>
      <c r="G9" s="1"/>
    </row>
    <row r="10" spans="1:7" x14ac:dyDescent="0.25">
      <c r="A10" s="5" t="s">
        <v>299</v>
      </c>
      <c r="B10" s="19"/>
      <c r="C10" s="1"/>
      <c r="D10" s="1"/>
      <c r="E10" s="1"/>
      <c r="F10" s="1"/>
      <c r="G10" s="1"/>
    </row>
    <row r="11" spans="1:7" x14ac:dyDescent="0.25">
      <c r="A11" s="1"/>
      <c r="B11" s="19"/>
      <c r="C11" s="1"/>
      <c r="D11" s="1"/>
      <c r="E11" s="1"/>
      <c r="F11" s="1"/>
      <c r="G11" s="1"/>
    </row>
    <row r="12" spans="1:7" s="6" customFormat="1" x14ac:dyDescent="0.25">
      <c r="A12" s="8" t="s">
        <v>300</v>
      </c>
      <c r="B12" s="28"/>
      <c r="C12" s="8"/>
      <c r="D12" s="8"/>
      <c r="E12" s="8"/>
      <c r="F12" s="8"/>
      <c r="G12" s="8"/>
    </row>
    <row r="13" spans="1:7" s="6" customFormat="1" x14ac:dyDescent="0.25">
      <c r="A13" s="10" t="s">
        <v>153</v>
      </c>
      <c r="B13" s="29" t="s">
        <v>270</v>
      </c>
      <c r="C13" s="10" t="s">
        <v>301</v>
      </c>
      <c r="D13" s="10" t="s">
        <v>302</v>
      </c>
      <c r="E13" s="10" t="s">
        <v>303</v>
      </c>
      <c r="F13" s="10" t="s">
        <v>276</v>
      </c>
      <c r="G13" s="10"/>
    </row>
    <row r="14" spans="1:7" x14ac:dyDescent="0.25">
      <c r="A14" s="13">
        <v>2026</v>
      </c>
      <c r="B14" s="19">
        <f>$B$7</f>
        <v>11000</v>
      </c>
      <c r="C14" s="19">
        <f t="shared" ref="C14:C19" si="0">B14*$C$7</f>
        <v>660</v>
      </c>
      <c r="D14" s="19">
        <f t="shared" ref="D14:D19" si="1">$F$7</f>
        <v>959.03012674536592</v>
      </c>
      <c r="E14" s="19">
        <f t="shared" ref="E14:E19" si="2">D14-C14</f>
        <v>299.03012674536592</v>
      </c>
      <c r="F14" s="19">
        <f t="shared" ref="F14:F19" si="3">B14-E14</f>
        <v>10700.969873254635</v>
      </c>
      <c r="G14" s="19"/>
    </row>
    <row r="15" spans="1:7" x14ac:dyDescent="0.25">
      <c r="A15" s="13">
        <v>2027</v>
      </c>
      <c r="B15" s="19">
        <f>F14</f>
        <v>10700.969873254635</v>
      </c>
      <c r="C15" s="19">
        <f t="shared" si="0"/>
        <v>642.05819239527807</v>
      </c>
      <c r="D15" s="19">
        <f t="shared" si="1"/>
        <v>959.03012674536592</v>
      </c>
      <c r="E15" s="19">
        <f t="shared" si="2"/>
        <v>316.97193435008785</v>
      </c>
      <c r="F15" s="19">
        <f t="shared" si="3"/>
        <v>10383.997938904547</v>
      </c>
      <c r="G15" s="19"/>
    </row>
    <row r="16" spans="1:7" x14ac:dyDescent="0.25">
      <c r="A16" s="13">
        <v>2028</v>
      </c>
      <c r="B16" s="19">
        <f>F15</f>
        <v>10383.997938904547</v>
      </c>
      <c r="C16" s="19">
        <f t="shared" si="0"/>
        <v>623.03987633427278</v>
      </c>
      <c r="D16" s="19">
        <f t="shared" si="1"/>
        <v>959.03012674536592</v>
      </c>
      <c r="E16" s="19">
        <f t="shared" si="2"/>
        <v>335.99025041109314</v>
      </c>
      <c r="F16" s="19">
        <f t="shared" si="3"/>
        <v>10048.007688493455</v>
      </c>
      <c r="G16" s="19"/>
    </row>
    <row r="17" spans="1:7" x14ac:dyDescent="0.25">
      <c r="A17" s="13">
        <v>2029</v>
      </c>
      <c r="B17" s="19">
        <f>F16</f>
        <v>10048.007688493455</v>
      </c>
      <c r="C17" s="19">
        <f t="shared" si="0"/>
        <v>602.88046130960731</v>
      </c>
      <c r="D17" s="19">
        <f t="shared" si="1"/>
        <v>959.03012674536592</v>
      </c>
      <c r="E17" s="19">
        <f t="shared" si="2"/>
        <v>356.14966543575861</v>
      </c>
      <c r="F17" s="19">
        <f t="shared" si="3"/>
        <v>9691.8580230576972</v>
      </c>
      <c r="G17" s="19"/>
    </row>
    <row r="18" spans="1:7" x14ac:dyDescent="0.25">
      <c r="A18" s="13">
        <v>2030</v>
      </c>
      <c r="B18" s="19">
        <f>F17</f>
        <v>9691.8580230576972</v>
      </c>
      <c r="C18" s="19">
        <f t="shared" si="0"/>
        <v>581.51148138346184</v>
      </c>
      <c r="D18" s="19">
        <f t="shared" si="1"/>
        <v>959.03012674536592</v>
      </c>
      <c r="E18" s="19">
        <f t="shared" si="2"/>
        <v>377.51864536190408</v>
      </c>
      <c r="F18" s="19">
        <f t="shared" si="3"/>
        <v>9314.3393776957928</v>
      </c>
      <c r="G18" s="19"/>
    </row>
    <row r="19" spans="1:7" s="6" customFormat="1" x14ac:dyDescent="0.25">
      <c r="A19" s="31">
        <v>2031</v>
      </c>
      <c r="B19" s="20">
        <f>F18</f>
        <v>9314.3393776957928</v>
      </c>
      <c r="C19" s="20">
        <f t="shared" si="0"/>
        <v>558.86036266174756</v>
      </c>
      <c r="D19" s="20">
        <f t="shared" si="1"/>
        <v>959.03012674536592</v>
      </c>
      <c r="E19" s="20">
        <f t="shared" si="2"/>
        <v>400.16976408361836</v>
      </c>
      <c r="F19" s="20">
        <f t="shared" si="3"/>
        <v>8914.1696136121736</v>
      </c>
      <c r="G19" s="20"/>
    </row>
    <row r="20" spans="1:7" x14ac:dyDescent="0.25">
      <c r="A20" s="1"/>
      <c r="B20" s="19"/>
      <c r="C20" s="19"/>
      <c r="D20" s="19"/>
      <c r="E20" s="19"/>
      <c r="F20" s="19"/>
      <c r="G20" s="19"/>
    </row>
    <row r="21" spans="1:7" s="6" customFormat="1" x14ac:dyDescent="0.25">
      <c r="A21" s="8" t="s">
        <v>304</v>
      </c>
      <c r="B21" s="28"/>
      <c r="C21" s="28"/>
      <c r="D21" s="28"/>
      <c r="E21" s="28"/>
      <c r="F21" s="28"/>
      <c r="G21" s="28"/>
    </row>
    <row r="22" spans="1:7" s="6" customFormat="1" x14ac:dyDescent="0.25">
      <c r="A22" s="10" t="s">
        <v>153</v>
      </c>
      <c r="B22" s="29" t="s">
        <v>270</v>
      </c>
      <c r="C22" s="29" t="s">
        <v>301</v>
      </c>
      <c r="D22" s="29" t="s">
        <v>302</v>
      </c>
      <c r="E22" s="29" t="s">
        <v>303</v>
      </c>
      <c r="F22" s="29" t="s">
        <v>276</v>
      </c>
      <c r="G22" s="29"/>
    </row>
    <row r="23" spans="1:7" x14ac:dyDescent="0.25">
      <c r="A23" s="13">
        <v>2026</v>
      </c>
      <c r="B23" s="19">
        <f>$B$8</f>
        <v>13000</v>
      </c>
      <c r="C23" s="19">
        <f t="shared" ref="C23:C28" si="4">B23*$C$8</f>
        <v>520</v>
      </c>
      <c r="D23" s="19">
        <f t="shared" ref="D23:D28" si="5">$F$8</f>
        <v>751.79128873759737</v>
      </c>
      <c r="E23" s="19">
        <f t="shared" ref="E23:E28" si="6">D23-C23</f>
        <v>231.79128873759737</v>
      </c>
      <c r="F23" s="19">
        <f t="shared" ref="F23:F28" si="7">B23-E23</f>
        <v>12768.208711262403</v>
      </c>
      <c r="G23" s="19"/>
    </row>
    <row r="24" spans="1:7" x14ac:dyDescent="0.25">
      <c r="A24" s="13">
        <v>2027</v>
      </c>
      <c r="B24" s="19">
        <f>F23</f>
        <v>12768.208711262403</v>
      </c>
      <c r="C24" s="19">
        <f t="shared" si="4"/>
        <v>510.72834845049613</v>
      </c>
      <c r="D24" s="19">
        <f t="shared" si="5"/>
        <v>751.79128873759737</v>
      </c>
      <c r="E24" s="19">
        <f t="shared" si="6"/>
        <v>241.06294028710124</v>
      </c>
      <c r="F24" s="19">
        <f t="shared" si="7"/>
        <v>12527.145770975301</v>
      </c>
      <c r="G24" s="19"/>
    </row>
    <row r="25" spans="1:7" x14ac:dyDescent="0.25">
      <c r="A25" s="13">
        <v>2028</v>
      </c>
      <c r="B25" s="19">
        <f>F24</f>
        <v>12527.145770975301</v>
      </c>
      <c r="C25" s="19">
        <f t="shared" si="4"/>
        <v>501.08583083901209</v>
      </c>
      <c r="D25" s="19">
        <f t="shared" si="5"/>
        <v>751.79128873759737</v>
      </c>
      <c r="E25" s="19">
        <f t="shared" si="6"/>
        <v>250.70545789858528</v>
      </c>
      <c r="F25" s="19">
        <f t="shared" si="7"/>
        <v>12276.440313076717</v>
      </c>
      <c r="G25" s="19"/>
    </row>
    <row r="26" spans="1:7" x14ac:dyDescent="0.25">
      <c r="A26" s="13">
        <v>2029</v>
      </c>
      <c r="B26" s="19">
        <f>F25</f>
        <v>12276.440313076717</v>
      </c>
      <c r="C26" s="19">
        <f t="shared" si="4"/>
        <v>491.05761252306866</v>
      </c>
      <c r="D26" s="19">
        <f t="shared" si="5"/>
        <v>751.79128873759737</v>
      </c>
      <c r="E26" s="19">
        <f t="shared" si="6"/>
        <v>260.73367621452871</v>
      </c>
      <c r="F26" s="19">
        <f t="shared" si="7"/>
        <v>12015.706636862189</v>
      </c>
      <c r="G26" s="19"/>
    </row>
    <row r="27" spans="1:7" x14ac:dyDescent="0.25">
      <c r="A27" s="13">
        <v>2030</v>
      </c>
      <c r="B27" s="19">
        <f>F26</f>
        <v>12015.706636862189</v>
      </c>
      <c r="C27" s="19">
        <f t="shared" si="4"/>
        <v>480.62826547448759</v>
      </c>
      <c r="D27" s="19">
        <f t="shared" si="5"/>
        <v>751.79128873759737</v>
      </c>
      <c r="E27" s="19">
        <f t="shared" si="6"/>
        <v>271.16302326310978</v>
      </c>
      <c r="F27" s="19">
        <f t="shared" si="7"/>
        <v>11744.543613599079</v>
      </c>
      <c r="G27" s="19"/>
    </row>
    <row r="28" spans="1:7" s="6" customFormat="1" x14ac:dyDescent="0.25">
      <c r="A28" s="31">
        <v>2031</v>
      </c>
      <c r="B28" s="20">
        <f>F27</f>
        <v>11744.543613599079</v>
      </c>
      <c r="C28" s="20">
        <f t="shared" si="4"/>
        <v>469.78174454396316</v>
      </c>
      <c r="D28" s="20">
        <f t="shared" si="5"/>
        <v>751.79128873759737</v>
      </c>
      <c r="E28" s="20">
        <f t="shared" si="6"/>
        <v>282.00954419363421</v>
      </c>
      <c r="F28" s="20">
        <f t="shared" si="7"/>
        <v>11462.534069405445</v>
      </c>
      <c r="G28" s="20"/>
    </row>
    <row r="29" spans="1:7" x14ac:dyDescent="0.25">
      <c r="A29" s="1"/>
      <c r="B29" s="19"/>
      <c r="C29" s="19"/>
      <c r="D29" s="19"/>
      <c r="E29" s="19"/>
      <c r="F29" s="19"/>
      <c r="G29" s="19"/>
    </row>
    <row r="30" spans="1:7" s="6" customFormat="1" x14ac:dyDescent="0.25">
      <c r="A30" s="8" t="s">
        <v>305</v>
      </c>
      <c r="B30" s="28"/>
      <c r="C30" s="28"/>
      <c r="D30" s="28"/>
      <c r="E30" s="28"/>
      <c r="F30" s="28"/>
      <c r="G30" s="28"/>
    </row>
    <row r="31" spans="1:7" x14ac:dyDescent="0.25">
      <c r="A31" s="1" t="s">
        <v>306</v>
      </c>
      <c r="B31" s="19">
        <f>F19</f>
        <v>8914.1696136121736</v>
      </c>
      <c r="C31" s="19"/>
      <c r="D31" s="19"/>
      <c r="E31" s="19"/>
      <c r="F31" s="19"/>
      <c r="G31" s="19"/>
    </row>
    <row r="32" spans="1:7" x14ac:dyDescent="0.25">
      <c r="A32" s="1" t="s">
        <v>307</v>
      </c>
      <c r="B32" s="19">
        <f>F28</f>
        <v>11462.534069405445</v>
      </c>
      <c r="C32" s="19"/>
      <c r="D32" s="19"/>
      <c r="E32" s="19"/>
      <c r="F32" s="19"/>
      <c r="G32" s="19"/>
    </row>
    <row r="33" spans="1:7" x14ac:dyDescent="0.25">
      <c r="A33" s="1" t="s">
        <v>308</v>
      </c>
      <c r="B33" s="19">
        <f>B31+B32</f>
        <v>20376.703683017618</v>
      </c>
      <c r="C33" s="19"/>
      <c r="D33" s="19"/>
      <c r="E33" s="19"/>
      <c r="F33" s="19"/>
      <c r="G33" s="19"/>
    </row>
    <row r="34" spans="1:7" x14ac:dyDescent="0.25">
      <c r="A34" s="1"/>
      <c r="B34" s="19"/>
      <c r="C34" s="19"/>
      <c r="D34" s="19"/>
      <c r="E34" s="19"/>
      <c r="F34" s="19"/>
      <c r="G34" s="19"/>
    </row>
    <row r="35" spans="1:7" s="6" customFormat="1" x14ac:dyDescent="0.25">
      <c r="A35" s="8" t="s">
        <v>309</v>
      </c>
      <c r="B35" s="28"/>
      <c r="C35" s="28"/>
      <c r="D35" s="28"/>
      <c r="E35" s="28"/>
      <c r="F35" s="28"/>
      <c r="G35" s="28"/>
    </row>
    <row r="36" spans="1:7" s="6" customFormat="1" x14ac:dyDescent="0.25">
      <c r="A36" s="10" t="s">
        <v>290</v>
      </c>
      <c r="B36" s="29" t="s">
        <v>310</v>
      </c>
      <c r="C36" s="29" t="s">
        <v>311</v>
      </c>
      <c r="D36" s="29" t="s">
        <v>312</v>
      </c>
      <c r="E36" s="29" t="s">
        <v>295</v>
      </c>
      <c r="F36" s="29"/>
      <c r="G36" s="29"/>
    </row>
    <row r="37" spans="1:7" x14ac:dyDescent="0.25">
      <c r="A37" s="1" t="s">
        <v>296</v>
      </c>
      <c r="B37" s="19">
        <f>B31</f>
        <v>8914.1696136121736</v>
      </c>
      <c r="C37" s="19">
        <f>$B$9</f>
        <v>7.4999999999999997E-2</v>
      </c>
      <c r="D37" s="19">
        <f>D7-E7</f>
        <v>14</v>
      </c>
      <c r="E37" s="19">
        <f>PMT(C37,D37,-B37)</f>
        <v>1050.0657546582418</v>
      </c>
      <c r="F37" s="19"/>
      <c r="G37" s="19"/>
    </row>
    <row r="38" spans="1:7" x14ac:dyDescent="0.25">
      <c r="A38" s="1" t="s">
        <v>297</v>
      </c>
      <c r="B38" s="19">
        <f>B32</f>
        <v>11462.534069405445</v>
      </c>
      <c r="C38" s="19">
        <f>$B$9</f>
        <v>7.4999999999999997E-2</v>
      </c>
      <c r="D38" s="19">
        <f>D8-E8</f>
        <v>24</v>
      </c>
      <c r="E38" s="19">
        <f>PMT(C38,D38,-B38)</f>
        <v>1043.6646379723441</v>
      </c>
      <c r="F38" s="19"/>
      <c r="G38" s="19"/>
    </row>
    <row r="39" spans="1:7" x14ac:dyDescent="0.25">
      <c r="A39" s="1"/>
      <c r="B39" s="19"/>
      <c r="C39" s="19"/>
      <c r="D39" s="19"/>
      <c r="E39" s="19"/>
      <c r="F39" s="19"/>
      <c r="G39" s="19"/>
    </row>
    <row r="40" spans="1:7" s="6" customFormat="1" x14ac:dyDescent="0.25">
      <c r="A40" s="8" t="s">
        <v>313</v>
      </c>
      <c r="B40" s="28"/>
      <c r="C40" s="28"/>
      <c r="D40" s="28"/>
      <c r="E40" s="28"/>
      <c r="F40" s="28"/>
      <c r="G40" s="28"/>
    </row>
    <row r="41" spans="1:7" s="6" customFormat="1" x14ac:dyDescent="0.25">
      <c r="A41" s="10" t="s">
        <v>153</v>
      </c>
      <c r="B41" s="29" t="s">
        <v>314</v>
      </c>
      <c r="C41" s="29" t="s">
        <v>315</v>
      </c>
      <c r="D41" s="29" t="s">
        <v>316</v>
      </c>
      <c r="E41" s="29" t="s">
        <v>317</v>
      </c>
      <c r="F41" s="29" t="s">
        <v>318</v>
      </c>
      <c r="G41" s="29" t="s">
        <v>319</v>
      </c>
    </row>
    <row r="42" spans="1:7" x14ac:dyDescent="0.25">
      <c r="A42" s="13">
        <v>2026</v>
      </c>
      <c r="B42" s="19">
        <f t="shared" ref="B42:B47" si="8">$F$7</f>
        <v>959.03012674536592</v>
      </c>
      <c r="C42" s="19">
        <f t="shared" ref="C42:C47" si="9">$F$8</f>
        <v>751.79128873759737</v>
      </c>
      <c r="D42" s="19">
        <f t="shared" ref="D42:D48" si="10">B42+C42</f>
        <v>1710.8214154829634</v>
      </c>
      <c r="E42" s="19">
        <f t="shared" ref="E42:E47" si="11">$F$7</f>
        <v>959.03012674536592</v>
      </c>
      <c r="F42" s="19">
        <f t="shared" ref="F42:F47" si="12">$F$8</f>
        <v>751.79128873759737</v>
      </c>
      <c r="G42" s="19">
        <f t="shared" ref="G42:G47" si="13">E42+F42</f>
        <v>1710.8214154829634</v>
      </c>
    </row>
    <row r="43" spans="1:7" x14ac:dyDescent="0.25">
      <c r="A43" s="13">
        <v>2027</v>
      </c>
      <c r="B43" s="19">
        <f t="shared" si="8"/>
        <v>959.03012674536592</v>
      </c>
      <c r="C43" s="19">
        <f t="shared" si="9"/>
        <v>751.79128873759737</v>
      </c>
      <c r="D43" s="19">
        <f t="shared" si="10"/>
        <v>1710.8214154829634</v>
      </c>
      <c r="E43" s="19">
        <f t="shared" si="11"/>
        <v>959.03012674536592</v>
      </c>
      <c r="F43" s="19">
        <f t="shared" si="12"/>
        <v>751.79128873759737</v>
      </c>
      <c r="G43" s="19">
        <f t="shared" si="13"/>
        <v>1710.8214154829634</v>
      </c>
    </row>
    <row r="44" spans="1:7" x14ac:dyDescent="0.25">
      <c r="A44" s="13">
        <v>2028</v>
      </c>
      <c r="B44" s="19">
        <f t="shared" si="8"/>
        <v>959.03012674536592</v>
      </c>
      <c r="C44" s="19">
        <f t="shared" si="9"/>
        <v>751.79128873759737</v>
      </c>
      <c r="D44" s="19">
        <f t="shared" si="10"/>
        <v>1710.8214154829634</v>
      </c>
      <c r="E44" s="19">
        <f t="shared" si="11"/>
        <v>959.03012674536592</v>
      </c>
      <c r="F44" s="19">
        <f t="shared" si="12"/>
        <v>751.79128873759737</v>
      </c>
      <c r="G44" s="19">
        <f t="shared" si="13"/>
        <v>1710.8214154829634</v>
      </c>
    </row>
    <row r="45" spans="1:7" x14ac:dyDescent="0.25">
      <c r="A45" s="13">
        <v>2029</v>
      </c>
      <c r="B45" s="19">
        <f t="shared" si="8"/>
        <v>959.03012674536592</v>
      </c>
      <c r="C45" s="19">
        <f t="shared" si="9"/>
        <v>751.79128873759737</v>
      </c>
      <c r="D45" s="19">
        <f t="shared" si="10"/>
        <v>1710.8214154829634</v>
      </c>
      <c r="E45" s="19">
        <f t="shared" si="11"/>
        <v>959.03012674536592</v>
      </c>
      <c r="F45" s="19">
        <f t="shared" si="12"/>
        <v>751.79128873759737</v>
      </c>
      <c r="G45" s="19">
        <f t="shared" si="13"/>
        <v>1710.8214154829634</v>
      </c>
    </row>
    <row r="46" spans="1:7" x14ac:dyDescent="0.25">
      <c r="A46" s="13">
        <v>2030</v>
      </c>
      <c r="B46" s="19">
        <f t="shared" si="8"/>
        <v>959.03012674536592</v>
      </c>
      <c r="C46" s="19">
        <f t="shared" si="9"/>
        <v>751.79128873759737</v>
      </c>
      <c r="D46" s="19">
        <f t="shared" si="10"/>
        <v>1710.8214154829634</v>
      </c>
      <c r="E46" s="19">
        <f t="shared" si="11"/>
        <v>959.03012674536592</v>
      </c>
      <c r="F46" s="19">
        <f t="shared" si="12"/>
        <v>751.79128873759737</v>
      </c>
      <c r="G46" s="19">
        <f t="shared" si="13"/>
        <v>1710.8214154829634</v>
      </c>
    </row>
    <row r="47" spans="1:7" x14ac:dyDescent="0.25">
      <c r="A47" s="13">
        <v>2031</v>
      </c>
      <c r="B47" s="19">
        <f t="shared" si="8"/>
        <v>959.03012674536592</v>
      </c>
      <c r="C47" s="19">
        <f t="shared" si="9"/>
        <v>751.79128873759737</v>
      </c>
      <c r="D47" s="19">
        <f t="shared" si="10"/>
        <v>1710.8214154829634</v>
      </c>
      <c r="E47" s="19">
        <f t="shared" si="11"/>
        <v>959.03012674536592</v>
      </c>
      <c r="F47" s="19">
        <f t="shared" si="12"/>
        <v>751.79128873759737</v>
      </c>
      <c r="G47" s="19">
        <f t="shared" si="13"/>
        <v>1710.8214154829634</v>
      </c>
    </row>
    <row r="48" spans="1:7" x14ac:dyDescent="0.25">
      <c r="A48" s="13">
        <v>2032</v>
      </c>
      <c r="B48" s="19">
        <f>$B$31</f>
        <v>8914.1696136121736</v>
      </c>
      <c r="C48" s="19">
        <f>$B$32</f>
        <v>11462.534069405445</v>
      </c>
      <c r="D48" s="19">
        <f t="shared" si="10"/>
        <v>20376.703683017618</v>
      </c>
      <c r="E48" s="19">
        <v>0</v>
      </c>
      <c r="F48" s="19">
        <v>0</v>
      </c>
      <c r="G48" s="19">
        <v>0</v>
      </c>
    </row>
    <row r="49" spans="1:7" x14ac:dyDescent="0.25">
      <c r="A49" s="13">
        <v>2033</v>
      </c>
      <c r="B49" s="19">
        <v>0</v>
      </c>
      <c r="C49" s="19">
        <v>0</v>
      </c>
      <c r="D49" s="19">
        <v>0</v>
      </c>
      <c r="E49" s="19">
        <f>$E$37</f>
        <v>1050.0657546582418</v>
      </c>
      <c r="F49" s="19">
        <f>$E$38</f>
        <v>1043.6646379723441</v>
      </c>
      <c r="G49" s="19">
        <f>E49+F49</f>
        <v>2093.7303926305858</v>
      </c>
    </row>
    <row r="50" spans="1:7" x14ac:dyDescent="0.25">
      <c r="A50" s="13">
        <v>2034</v>
      </c>
      <c r="B50" s="19">
        <v>0</v>
      </c>
      <c r="C50" s="19">
        <v>0</v>
      </c>
      <c r="D50" s="19">
        <v>0</v>
      </c>
      <c r="E50" s="19">
        <f>$E$37</f>
        <v>1050.0657546582418</v>
      </c>
      <c r="F50" s="19">
        <f>$E$38</f>
        <v>1043.6646379723441</v>
      </c>
      <c r="G50" s="19">
        <f>E50+F50</f>
        <v>2093.7303926305858</v>
      </c>
    </row>
    <row r="51" spans="1:7" x14ac:dyDescent="0.25">
      <c r="A51" s="13">
        <v>2035</v>
      </c>
      <c r="B51" s="19">
        <v>0</v>
      </c>
      <c r="C51" s="19">
        <v>0</v>
      </c>
      <c r="D51" s="19">
        <v>0</v>
      </c>
      <c r="E51" s="19">
        <f>$E$37</f>
        <v>1050.0657546582418</v>
      </c>
      <c r="F51" s="19">
        <f>$E$38</f>
        <v>1043.6646379723441</v>
      </c>
      <c r="G51" s="19">
        <f>E51+F51</f>
        <v>2093.7303926305858</v>
      </c>
    </row>
    <row r="52" spans="1:7" x14ac:dyDescent="0.25">
      <c r="A52" s="13">
        <v>2036</v>
      </c>
      <c r="B52" s="19">
        <v>0</v>
      </c>
      <c r="C52" s="19">
        <v>0</v>
      </c>
      <c r="D52" s="19">
        <v>0</v>
      </c>
      <c r="E52" s="19">
        <f>$E$37</f>
        <v>1050.0657546582418</v>
      </c>
      <c r="F52" s="19">
        <f>$E$38</f>
        <v>1043.6646379723441</v>
      </c>
      <c r="G52" s="19">
        <f>E52+F52</f>
        <v>2093.7303926305858</v>
      </c>
    </row>
    <row r="53" spans="1:7" x14ac:dyDescent="0.25">
      <c r="A53" s="13">
        <v>2037</v>
      </c>
      <c r="B53" s="19">
        <v>0</v>
      </c>
      <c r="C53" s="19">
        <v>0</v>
      </c>
      <c r="D53" s="19">
        <v>0</v>
      </c>
      <c r="E53" s="19">
        <f>$E$37</f>
        <v>1050.0657546582418</v>
      </c>
      <c r="F53" s="19">
        <f>$E$38</f>
        <v>1043.6646379723441</v>
      </c>
      <c r="G53" s="19">
        <f>E53+F53</f>
        <v>2093.7303926305858</v>
      </c>
    </row>
    <row r="54" spans="1:7" s="6" customFormat="1" x14ac:dyDescent="0.25">
      <c r="A54" s="3" t="s">
        <v>150</v>
      </c>
      <c r="B54" s="20">
        <f t="shared" ref="B54:G54" si="14">SUM(B42:B53)</f>
        <v>14668.35037408437</v>
      </c>
      <c r="C54" s="20">
        <f t="shared" si="14"/>
        <v>15973.281801831028</v>
      </c>
      <c r="D54" s="20">
        <f t="shared" si="14"/>
        <v>30641.632175915402</v>
      </c>
      <c r="E54" s="20">
        <f t="shared" si="14"/>
        <v>11004.509533763405</v>
      </c>
      <c r="F54" s="20">
        <f t="shared" si="14"/>
        <v>9729.0709222873047</v>
      </c>
      <c r="G54" s="20">
        <f t="shared" si="14"/>
        <v>20733.580456050713</v>
      </c>
    </row>
    <row r="55" spans="1:7" x14ac:dyDescent="0.25">
      <c r="A55" s="1"/>
      <c r="B55" s="19"/>
      <c r="C55" s="1"/>
      <c r="D55" s="1"/>
      <c r="E55" s="1"/>
      <c r="F55" s="1"/>
      <c r="G55" s="1"/>
    </row>
    <row r="56" spans="1:7" s="6" customFormat="1" x14ac:dyDescent="0.25">
      <c r="A56" s="8" t="s">
        <v>320</v>
      </c>
      <c r="B56" s="28"/>
      <c r="C56" s="8"/>
      <c r="D56" s="8"/>
      <c r="E56" s="8"/>
      <c r="F56" s="8"/>
      <c r="G56" s="8"/>
    </row>
    <row r="57" spans="1:7" x14ac:dyDescent="0.25">
      <c r="A57" s="18" t="s">
        <v>321</v>
      </c>
      <c r="B57" s="22">
        <f>SUM(D42:D48)</f>
        <v>30641.632175915402</v>
      </c>
      <c r="C57" s="1"/>
      <c r="D57" s="1"/>
      <c r="E57" s="1"/>
      <c r="F57" s="1"/>
      <c r="G57" s="1"/>
    </row>
    <row r="58" spans="1:7" x14ac:dyDescent="0.25">
      <c r="A58" s="3" t="s">
        <v>322</v>
      </c>
      <c r="B58" s="20">
        <v>30835.21</v>
      </c>
      <c r="C58" s="1"/>
      <c r="D58" s="1"/>
      <c r="E58" s="1"/>
      <c r="F58" s="1"/>
      <c r="G58" s="1"/>
    </row>
    <row r="59" spans="1:7" x14ac:dyDescent="0.25">
      <c r="A59" s="3" t="s">
        <v>253</v>
      </c>
      <c r="B59" s="20">
        <f>B57-B58</f>
        <v>-193.57782408459752</v>
      </c>
      <c r="C59" s="1"/>
      <c r="D59" s="1"/>
      <c r="E59" s="1"/>
      <c r="F59" s="1"/>
      <c r="G5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1D6B1-6AC4-490E-97A6-10F232ED12CE}">
  <dimension ref="A1:O70"/>
  <sheetViews>
    <sheetView workbookViewId="0">
      <pane xSplit="1" ySplit="6" topLeftCell="B7" activePane="bottomRight" state="frozenSplit"/>
      <selection pane="topRight" activeCell="B1" sqref="B1"/>
      <selection pane="bottomLeft" activeCell="A7" sqref="A7"/>
      <selection pane="bottomRight"/>
    </sheetView>
  </sheetViews>
  <sheetFormatPr defaultRowHeight="15" x14ac:dyDescent="0.25"/>
  <cols>
    <col min="1" max="1" width="30.7109375" customWidth="1"/>
    <col min="2" max="13" width="9.7109375" customWidth="1"/>
    <col min="14" max="14" width="13.7109375" customWidth="1"/>
    <col min="15" max="15" width="40.7109375" customWidth="1"/>
  </cols>
  <sheetData>
    <row r="1" spans="1:15" ht="17.25" x14ac:dyDescent="0.3">
      <c r="A1" s="4" t="s">
        <v>328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5" t="s">
        <v>329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x14ac:dyDescent="0.25">
      <c r="A3" s="33" t="s">
        <v>137</v>
      </c>
      <c r="B3" s="33" t="str">
        <f>Inputs!B3</f>
        <v>Base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15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1:15" s="6" customFormat="1" x14ac:dyDescent="0.25">
      <c r="A5" s="34" t="s">
        <v>330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s="6" customFormat="1" x14ac:dyDescent="0.25">
      <c r="A6" s="35" t="s">
        <v>331</v>
      </c>
      <c r="B6" s="35">
        <v>2026</v>
      </c>
      <c r="C6" s="35">
        <v>2027</v>
      </c>
      <c r="D6" s="35">
        <v>2028</v>
      </c>
      <c r="E6" s="35">
        <v>2029</v>
      </c>
      <c r="F6" s="35">
        <v>2030</v>
      </c>
      <c r="G6" s="35">
        <v>2031</v>
      </c>
      <c r="H6" s="35">
        <v>2032</v>
      </c>
      <c r="I6" s="35">
        <v>2033</v>
      </c>
      <c r="J6" s="35">
        <v>2034</v>
      </c>
      <c r="K6" s="35">
        <v>2035</v>
      </c>
      <c r="L6" s="35">
        <v>2036</v>
      </c>
      <c r="M6" s="35">
        <v>2037</v>
      </c>
      <c r="N6" s="35" t="s">
        <v>332</v>
      </c>
      <c r="O6" s="35" t="s">
        <v>333</v>
      </c>
    </row>
    <row r="7" spans="1:15" s="6" customFormat="1" x14ac:dyDescent="0.25">
      <c r="A7" s="35" t="s">
        <v>334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</row>
    <row r="8" spans="1:15" x14ac:dyDescent="0.25">
      <c r="A8" s="32" t="s">
        <v>335</v>
      </c>
      <c r="B8" s="36">
        <f>Inputs!G60</f>
        <v>5000</v>
      </c>
      <c r="C8" s="36">
        <v>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f>SUM(B8:M8)</f>
        <v>5000</v>
      </c>
      <c r="O8" s="32" t="s">
        <v>336</v>
      </c>
    </row>
    <row r="9" spans="1:15" x14ac:dyDescent="0.25">
      <c r="A9" s="32" t="s">
        <v>337</v>
      </c>
      <c r="B9" s="36">
        <f>Revenue!C17-Revenue!D17-Revenue!F17</f>
        <v>0</v>
      </c>
      <c r="C9" s="36">
        <f>Revenue!C18-Revenue!D18-Revenue!F18</f>
        <v>3636.4814814814818</v>
      </c>
      <c r="D9" s="36">
        <f>Revenue!C19-Revenue!D19-Revenue!F19</f>
        <v>21818.888888888891</v>
      </c>
      <c r="E9" s="36">
        <f>Revenue!C20-Revenue!D20-Revenue!F20</f>
        <v>27395.370370370372</v>
      </c>
      <c r="F9" s="36">
        <f>Revenue!C21-Revenue!D21-Revenue!F21</f>
        <v>37578.333333333336</v>
      </c>
      <c r="G9" s="36">
        <f>Revenue!C22-Revenue!D22-Revenue!F22</f>
        <v>18425.925925925927</v>
      </c>
      <c r="H9" s="36">
        <f>Revenue!C23-Revenue!D23-Revenue!F23</f>
        <v>0</v>
      </c>
      <c r="I9" s="36">
        <f>Revenue!C24-Revenue!D24-Revenue!F24</f>
        <v>0</v>
      </c>
      <c r="J9" s="36">
        <f>Revenue!C25-Revenue!D25-Revenue!F25</f>
        <v>0</v>
      </c>
      <c r="K9" s="36">
        <f>Revenue!C26-Revenue!D26-Revenue!F26</f>
        <v>0</v>
      </c>
      <c r="L9" s="36">
        <f>Revenue!C27-Revenue!D27-Revenue!F27</f>
        <v>0</v>
      </c>
      <c r="M9" s="36">
        <f>Revenue!C28-Revenue!D28-Revenue!F28</f>
        <v>0</v>
      </c>
      <c r="N9" s="36">
        <f>SUM(B9:M9)</f>
        <v>108855</v>
      </c>
      <c r="O9" s="32" t="s">
        <v>338</v>
      </c>
    </row>
    <row r="10" spans="1:15" x14ac:dyDescent="0.25">
      <c r="A10" s="32" t="s">
        <v>339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7">
        <f>12000*ROUND(2*Inputs!G95,0)/2</f>
        <v>12000</v>
      </c>
      <c r="O10" s="32" t="s">
        <v>340</v>
      </c>
    </row>
    <row r="11" spans="1:15" x14ac:dyDescent="0.25">
      <c r="A11" s="32" t="s">
        <v>187</v>
      </c>
      <c r="B11" s="36">
        <f>Foundation!C20+Inputs!G92</f>
        <v>1000</v>
      </c>
      <c r="C11" s="36">
        <f>Foundation!C21</f>
        <v>2400</v>
      </c>
      <c r="D11" s="36">
        <f>Foundation!C22</f>
        <v>7200</v>
      </c>
      <c r="E11" s="36">
        <f>Foundation!C23</f>
        <v>8400</v>
      </c>
      <c r="F11" s="36">
        <f>Foundation!C24</f>
        <v>9600</v>
      </c>
      <c r="G11" s="36">
        <f>Foundation!C25</f>
        <v>4800</v>
      </c>
      <c r="H11" s="36">
        <f>Foundation!C26</f>
        <v>0</v>
      </c>
      <c r="I11" s="36">
        <f>Foundation!C27</f>
        <v>0</v>
      </c>
      <c r="J11" s="36">
        <f>Foundation!C28</f>
        <v>0</v>
      </c>
      <c r="K11" s="36">
        <f>Foundation!C29</f>
        <v>0</v>
      </c>
      <c r="L11" s="36">
        <f>Foundation!C30</f>
        <v>0</v>
      </c>
      <c r="M11" s="36">
        <f>Foundation!C31</f>
        <v>0</v>
      </c>
      <c r="N11" s="36">
        <f>SUM(B11:M11)</f>
        <v>33400</v>
      </c>
      <c r="O11" s="32" t="s">
        <v>341</v>
      </c>
    </row>
    <row r="12" spans="1:15" x14ac:dyDescent="0.25">
      <c r="A12" s="32" t="s">
        <v>342</v>
      </c>
      <c r="B12" s="36">
        <f>Foundation!G20</f>
        <v>54.315282373478382</v>
      </c>
      <c r="C12" s="36">
        <f>Foundation!G21</f>
        <v>108.90152115379944</v>
      </c>
      <c r="D12" s="36">
        <f>Foundation!G22</f>
        <v>414.55765459746453</v>
      </c>
      <c r="E12" s="36">
        <f>Foundation!G23</f>
        <v>930.28459428933104</v>
      </c>
      <c r="F12" s="36">
        <f>Foundation!G24</f>
        <v>1546.4117298660367</v>
      </c>
      <c r="G12" s="36">
        <f>Foundation!G25</f>
        <v>2051.4750870986841</v>
      </c>
      <c r="H12" s="36">
        <f>Foundation!G26</f>
        <v>2233.7378057951451</v>
      </c>
      <c r="I12" s="36">
        <f>Foundation!G27</f>
        <v>2252.7154069152652</v>
      </c>
      <c r="J12" s="36">
        <f>Foundation!G28</f>
        <v>2271.4558894221427</v>
      </c>
      <c r="K12" s="36">
        <f>Foundation!G29</f>
        <v>2289.8941301737859</v>
      </c>
      <c r="L12" s="36">
        <f>Foundation!G30</f>
        <v>2307.958460657148</v>
      </c>
      <c r="M12" s="36">
        <f>Foundation!G31</f>
        <v>2325.5705856349609</v>
      </c>
      <c r="N12" s="36">
        <f>SUM(B12:M12)</f>
        <v>18787.278147977242</v>
      </c>
      <c r="O12" s="32" t="s">
        <v>343</v>
      </c>
    </row>
    <row r="13" spans="1:15" x14ac:dyDescent="0.25">
      <c r="A13" s="32" t="s">
        <v>344</v>
      </c>
      <c r="B13" s="36">
        <f>Foundation!D20</f>
        <v>0</v>
      </c>
      <c r="C13" s="36">
        <f>Foundation!D21</f>
        <v>62.5</v>
      </c>
      <c r="D13" s="36">
        <f>Foundation!D22</f>
        <v>375</v>
      </c>
      <c r="E13" s="36">
        <f>Foundation!D23</f>
        <v>500</v>
      </c>
      <c r="F13" s="36">
        <f>Foundation!D24</f>
        <v>500</v>
      </c>
      <c r="G13" s="36">
        <f>Foundation!D25</f>
        <v>500</v>
      </c>
      <c r="H13" s="36">
        <f>Foundation!D26</f>
        <v>500</v>
      </c>
      <c r="I13" s="36">
        <f>Foundation!D27</f>
        <v>500</v>
      </c>
      <c r="J13" s="36">
        <f>Foundation!D28</f>
        <v>500</v>
      </c>
      <c r="K13" s="36">
        <f>Foundation!D29</f>
        <v>500</v>
      </c>
      <c r="L13" s="36">
        <f>Foundation!D30</f>
        <v>500</v>
      </c>
      <c r="M13" s="36">
        <f>Foundation!D31</f>
        <v>500</v>
      </c>
      <c r="N13" s="36">
        <f>SUM(B13:M13)</f>
        <v>4937.5</v>
      </c>
      <c r="O13" s="32" t="s">
        <v>343</v>
      </c>
    </row>
    <row r="14" spans="1:15" x14ac:dyDescent="0.25">
      <c r="A14" s="32" t="s">
        <v>189</v>
      </c>
      <c r="B14" s="36">
        <f>Revenue!J17</f>
        <v>0</v>
      </c>
      <c r="C14" s="36">
        <f>Revenue!J18</f>
        <v>2326.5</v>
      </c>
      <c r="D14" s="36">
        <f>Revenue!J19</f>
        <v>3663</v>
      </c>
      <c r="E14" s="36">
        <f>Revenue!J20</f>
        <v>1782</v>
      </c>
      <c r="F14" s="36">
        <f>Revenue!J21</f>
        <v>792</v>
      </c>
      <c r="G14" s="36">
        <f>Revenue!J22</f>
        <v>297</v>
      </c>
      <c r="H14" s="36">
        <f>Revenue!J23</f>
        <v>0</v>
      </c>
      <c r="I14" s="36">
        <f>Revenue!J24</f>
        <v>0</v>
      </c>
      <c r="J14" s="36">
        <f>Revenue!J25</f>
        <v>0</v>
      </c>
      <c r="K14" s="36">
        <f>Revenue!J26</f>
        <v>0</v>
      </c>
      <c r="L14" s="36">
        <f>Revenue!J27</f>
        <v>0</v>
      </c>
      <c r="M14" s="36">
        <f>Revenue!J28</f>
        <v>0</v>
      </c>
      <c r="N14" s="36">
        <f>SUM(B14:M14)</f>
        <v>8860.5</v>
      </c>
      <c r="O14" s="32" t="s">
        <v>345</v>
      </c>
    </row>
    <row r="15" spans="1:15" x14ac:dyDescent="0.25">
      <c r="A15" s="32" t="s">
        <v>191</v>
      </c>
      <c r="B15" s="36">
        <f>Revenue!M17</f>
        <v>333.33333333333337</v>
      </c>
      <c r="C15" s="36">
        <f>Revenue!M18</f>
        <v>490.83333333333337</v>
      </c>
      <c r="D15" s="36">
        <f>Revenue!M19</f>
        <v>971.25</v>
      </c>
      <c r="E15" s="36">
        <f>Revenue!M20</f>
        <v>1422.5</v>
      </c>
      <c r="F15" s="36">
        <f>Revenue!M21</f>
        <v>1652.0833333333335</v>
      </c>
      <c r="G15" s="36">
        <f>Revenue!M22</f>
        <v>1781.25</v>
      </c>
      <c r="H15" s="36">
        <f>Revenue!M23</f>
        <v>1800</v>
      </c>
      <c r="I15" s="36">
        <f>Revenue!M24</f>
        <v>1800</v>
      </c>
      <c r="J15" s="36">
        <f>Revenue!M25</f>
        <v>1800</v>
      </c>
      <c r="K15" s="36">
        <f>Revenue!M26</f>
        <v>1800</v>
      </c>
      <c r="L15" s="36">
        <f>Revenue!M27</f>
        <v>1800</v>
      </c>
      <c r="M15" s="36">
        <f>Revenue!M28</f>
        <v>1800</v>
      </c>
      <c r="N15" s="36">
        <f>SUM(B15:M15)</f>
        <v>17451.25</v>
      </c>
      <c r="O15" s="32" t="s">
        <v>345</v>
      </c>
    </row>
    <row r="16" spans="1:15" x14ac:dyDescent="0.25">
      <c r="A16" s="32" t="s">
        <v>346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>
        <v>4008.0419999999999</v>
      </c>
      <c r="O16" s="32" t="s">
        <v>347</v>
      </c>
    </row>
    <row r="17" spans="1:15" x14ac:dyDescent="0.25">
      <c r="A17" s="32" t="s">
        <v>348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7">
        <v>6418.2079999999996</v>
      </c>
      <c r="O17" s="32" t="s">
        <v>347</v>
      </c>
    </row>
    <row r="18" spans="1:15" s="6" customFormat="1" x14ac:dyDescent="0.25">
      <c r="A18" s="33" t="s">
        <v>349</v>
      </c>
      <c r="B18" s="38">
        <f t="shared" ref="B18:N18" si="0">SUM(B8:B17)</f>
        <v>6387.6486157068111</v>
      </c>
      <c r="C18" s="38">
        <f t="shared" si="0"/>
        <v>9025.2163359686147</v>
      </c>
      <c r="D18" s="38">
        <f t="shared" si="0"/>
        <v>34442.696543486352</v>
      </c>
      <c r="E18" s="38">
        <f t="shared" si="0"/>
        <v>40430.154964659705</v>
      </c>
      <c r="F18" s="38">
        <f t="shared" si="0"/>
        <v>51668.828396532706</v>
      </c>
      <c r="G18" s="38">
        <f t="shared" si="0"/>
        <v>27855.65101302461</v>
      </c>
      <c r="H18" s="38">
        <f t="shared" si="0"/>
        <v>4533.7378057951446</v>
      </c>
      <c r="I18" s="38">
        <f t="shared" si="0"/>
        <v>4552.7154069152657</v>
      </c>
      <c r="J18" s="38">
        <f t="shared" si="0"/>
        <v>4571.4558894221427</v>
      </c>
      <c r="K18" s="38">
        <f t="shared" si="0"/>
        <v>4589.8941301737859</v>
      </c>
      <c r="L18" s="38">
        <f t="shared" si="0"/>
        <v>4607.958460657148</v>
      </c>
      <c r="M18" s="38">
        <f t="shared" si="0"/>
        <v>4625.5705856349614</v>
      </c>
      <c r="N18" s="38">
        <f t="shared" si="0"/>
        <v>219717.77814797725</v>
      </c>
      <c r="O18" s="33"/>
    </row>
    <row r="19" spans="1:15" s="6" customFormat="1" x14ac:dyDescent="0.25">
      <c r="A19" s="35" t="s">
        <v>350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5"/>
    </row>
    <row r="20" spans="1:15" x14ac:dyDescent="0.25">
      <c r="A20" s="32" t="s">
        <v>351</v>
      </c>
      <c r="B20" s="36">
        <f>'Development Cost'!C33</f>
        <v>2986.8827680585814</v>
      </c>
      <c r="C20" s="36">
        <f>'Development Cost'!C34</f>
        <v>5861.3969915543339</v>
      </c>
      <c r="D20" s="36">
        <f>'Development Cost'!C35</f>
        <v>11709.043648341216</v>
      </c>
      <c r="E20" s="36">
        <f>'Development Cost'!C36</f>
        <v>16627.983258430224</v>
      </c>
      <c r="F20" s="36">
        <f>'Development Cost'!C37</f>
        <v>17560.518829710407</v>
      </c>
      <c r="G20" s="36">
        <f>'Development Cost'!C38</f>
        <v>12344.646132606445</v>
      </c>
      <c r="H20" s="36">
        <f>'Development Cost'!C39</f>
        <v>313.14365324814969</v>
      </c>
      <c r="I20" s="36">
        <f>'Development Cost'!C40</f>
        <v>0</v>
      </c>
      <c r="J20" s="36">
        <f>'Development Cost'!C41</f>
        <v>0</v>
      </c>
      <c r="K20" s="36">
        <f>'Development Cost'!C42</f>
        <v>0</v>
      </c>
      <c r="L20" s="36">
        <f>'Development Cost'!C43</f>
        <v>0</v>
      </c>
      <c r="M20" s="36">
        <f>'Development Cost'!C44</f>
        <v>0</v>
      </c>
      <c r="N20" s="36">
        <f>SUM(B20:M20)</f>
        <v>67403.615281949344</v>
      </c>
      <c r="O20" s="32" t="s">
        <v>352</v>
      </c>
    </row>
    <row r="21" spans="1:15" x14ac:dyDescent="0.25">
      <c r="A21" s="32" t="s">
        <v>353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>
        <f>Inputs!G93</f>
        <v>3914.59</v>
      </c>
      <c r="O21" s="32" t="s">
        <v>354</v>
      </c>
    </row>
    <row r="22" spans="1:15" x14ac:dyDescent="0.25">
      <c r="A22" s="32" t="s">
        <v>355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>
        <f>Inputs!G94*Revenue!C29</f>
        <v>1122.9998799999998</v>
      </c>
      <c r="O22" s="32" t="s">
        <v>356</v>
      </c>
    </row>
    <row r="23" spans="1:15" x14ac:dyDescent="0.25">
      <c r="A23" s="32" t="s">
        <v>357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7">
        <f>28559*Inputs!G95</f>
        <v>28559</v>
      </c>
      <c r="O23" s="32" t="s">
        <v>358</v>
      </c>
    </row>
    <row r="24" spans="1:15" x14ac:dyDescent="0.25">
      <c r="A24" s="32" t="s">
        <v>359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7">
        <f>43096.393 * (0.7 + 0.3 * (Inputs!G73 + Inputs!G74) / 92)</f>
        <v>43096.392999999996</v>
      </c>
      <c r="O24" s="32" t="s">
        <v>347</v>
      </c>
    </row>
    <row r="25" spans="1:15" x14ac:dyDescent="0.25">
      <c r="A25" s="32" t="s">
        <v>224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7">
        <v>2382.29</v>
      </c>
      <c r="O25" s="32" t="s">
        <v>347</v>
      </c>
    </row>
    <row r="26" spans="1:15" x14ac:dyDescent="0.25">
      <c r="A26" s="32" t="s">
        <v>360</v>
      </c>
      <c r="B26" s="36">
        <f>Debt!D42</f>
        <v>1710.8214154829634</v>
      </c>
      <c r="C26" s="36">
        <f>Debt!D43</f>
        <v>1710.8214154829634</v>
      </c>
      <c r="D26" s="36">
        <f>Debt!D44</f>
        <v>1710.8214154829634</v>
      </c>
      <c r="E26" s="36">
        <f>Debt!D45</f>
        <v>1710.8214154829634</v>
      </c>
      <c r="F26" s="36">
        <f>Debt!D46</f>
        <v>1710.8214154829634</v>
      </c>
      <c r="G26" s="36">
        <f>Debt!D47</f>
        <v>1710.8214154829634</v>
      </c>
      <c r="H26" s="36">
        <f>Debt!D48</f>
        <v>20376.703683017618</v>
      </c>
      <c r="I26" s="36">
        <f>Debt!D49</f>
        <v>0</v>
      </c>
      <c r="J26" s="36">
        <f>Debt!D50</f>
        <v>0</v>
      </c>
      <c r="K26" s="36">
        <f>Debt!D51</f>
        <v>0</v>
      </c>
      <c r="L26" s="36">
        <f>Debt!D52</f>
        <v>0</v>
      </c>
      <c r="M26" s="36">
        <f>Debt!D53</f>
        <v>0</v>
      </c>
      <c r="N26" s="36">
        <f>SUM(B26:M26)</f>
        <v>30641.632175915402</v>
      </c>
      <c r="O26" s="32" t="s">
        <v>361</v>
      </c>
    </row>
    <row r="27" spans="1:15" x14ac:dyDescent="0.25">
      <c r="A27" s="32" t="s">
        <v>362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7">
        <v>1140.4559999999999</v>
      </c>
      <c r="O27" s="32" t="s">
        <v>347</v>
      </c>
    </row>
    <row r="28" spans="1:15" x14ac:dyDescent="0.25">
      <c r="A28" s="32" t="s">
        <v>363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>
        <f>Foundation!H31</f>
        <v>33348.42814797724</v>
      </c>
      <c r="O28" s="32" t="s">
        <v>364</v>
      </c>
    </row>
    <row r="29" spans="1:15" s="6" customFormat="1" x14ac:dyDescent="0.25">
      <c r="A29" s="33" t="s">
        <v>365</v>
      </c>
      <c r="B29" s="38">
        <f t="shared" ref="B29:N29" si="1">SUM(B20:B28)</f>
        <v>4697.7041835415448</v>
      </c>
      <c r="C29" s="38">
        <f t="shared" si="1"/>
        <v>7572.2184070372969</v>
      </c>
      <c r="D29" s="38">
        <f t="shared" si="1"/>
        <v>13419.86506382418</v>
      </c>
      <c r="E29" s="38">
        <f t="shared" si="1"/>
        <v>18338.804673913186</v>
      </c>
      <c r="F29" s="38">
        <f t="shared" si="1"/>
        <v>19271.340245193369</v>
      </c>
      <c r="G29" s="38">
        <f t="shared" si="1"/>
        <v>14055.467548089409</v>
      </c>
      <c r="H29" s="38">
        <f t="shared" si="1"/>
        <v>20689.847336265768</v>
      </c>
      <c r="I29" s="38">
        <f t="shared" si="1"/>
        <v>0</v>
      </c>
      <c r="J29" s="38">
        <f t="shared" si="1"/>
        <v>0</v>
      </c>
      <c r="K29" s="38">
        <f t="shared" si="1"/>
        <v>0</v>
      </c>
      <c r="L29" s="38">
        <f t="shared" si="1"/>
        <v>0</v>
      </c>
      <c r="M29" s="38">
        <f t="shared" si="1"/>
        <v>0</v>
      </c>
      <c r="N29" s="38">
        <f t="shared" si="1"/>
        <v>211609.40448584201</v>
      </c>
      <c r="O29" s="33"/>
    </row>
    <row r="30" spans="1:15" x14ac:dyDescent="0.25">
      <c r="A30" s="32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2"/>
    </row>
    <row r="31" spans="1:15" s="6" customFormat="1" x14ac:dyDescent="0.25">
      <c r="A31" s="34" t="s">
        <v>366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34"/>
    </row>
    <row r="32" spans="1:15" s="6" customFormat="1" x14ac:dyDescent="0.25">
      <c r="A32" s="18" t="s">
        <v>367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41">
        <f>N18-N29</f>
        <v>8108.3736621352436</v>
      </c>
      <c r="O32" s="33"/>
    </row>
    <row r="33" spans="1:15" x14ac:dyDescent="0.25">
      <c r="A33" s="33" t="s">
        <v>368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>
        <v>7915.17</v>
      </c>
      <c r="O33" s="32"/>
    </row>
    <row r="34" spans="1:15" x14ac:dyDescent="0.25">
      <c r="A34" s="33" t="s">
        <v>253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>
        <f>N32-N33</f>
        <v>193.20366213524358</v>
      </c>
      <c r="O34" s="32"/>
    </row>
    <row r="35" spans="1:15" x14ac:dyDescent="0.25">
      <c r="A35" s="5" t="s">
        <v>369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</row>
    <row r="37" spans="1:15" s="6" customFormat="1" x14ac:dyDescent="0.25">
      <c r="A37" s="34" t="s">
        <v>370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</row>
    <row r="38" spans="1:15" x14ac:dyDescent="0.25">
      <c r="A38" s="5" t="s">
        <v>371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</row>
    <row r="39" spans="1:15" x14ac:dyDescent="0.25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</row>
    <row r="40" spans="1:15" x14ac:dyDescent="0.25">
      <c r="A40" s="32" t="s">
        <v>372</v>
      </c>
      <c r="B40" s="42">
        <f>N32+10000</f>
        <v>18108.373662135244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</row>
    <row r="41" spans="1:15" x14ac:dyDescent="0.25">
      <c r="A41" s="32" t="s">
        <v>373</v>
      </c>
      <c r="B41" s="42">
        <v>17915.169999999998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</row>
    <row r="42" spans="1:15" x14ac:dyDescent="0.25">
      <c r="A42" s="32" t="s">
        <v>374</v>
      </c>
      <c r="B42" s="42">
        <f>B40/B41</f>
        <v>1.0107843610825489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</row>
    <row r="43" spans="1:15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</row>
    <row r="44" spans="1:15" s="6" customFormat="1" x14ac:dyDescent="0.25">
      <c r="A44" s="35" t="s">
        <v>153</v>
      </c>
      <c r="B44" s="35" t="s">
        <v>375</v>
      </c>
      <c r="C44" s="35" t="s">
        <v>376</v>
      </c>
      <c r="D44" s="35" t="s">
        <v>377</v>
      </c>
      <c r="E44" s="35" t="s">
        <v>378</v>
      </c>
      <c r="F44" s="35" t="s">
        <v>379</v>
      </c>
      <c r="G44" s="33"/>
      <c r="H44" s="33"/>
      <c r="I44" s="33"/>
      <c r="J44" s="33"/>
      <c r="K44" s="33"/>
      <c r="L44" s="33"/>
      <c r="M44" s="33"/>
      <c r="N44" s="33"/>
      <c r="O44" s="33"/>
    </row>
    <row r="45" spans="1:15" x14ac:dyDescent="0.25">
      <c r="A45" s="32">
        <v>2026</v>
      </c>
      <c r="B45" s="43">
        <v>6317.89</v>
      </c>
      <c r="C45" s="43">
        <v>0</v>
      </c>
      <c r="D45" s="44">
        <f t="shared" ref="D45:D56" si="2">C45*$B$42</f>
        <v>0</v>
      </c>
      <c r="E45" s="44">
        <f t="shared" ref="E45:E56" si="3">D45-B45</f>
        <v>-6317.89</v>
      </c>
      <c r="F45" s="46">
        <f>DATE(2026,12,31)</f>
        <v>46387</v>
      </c>
      <c r="G45" s="32"/>
      <c r="H45" s="32"/>
      <c r="I45" s="32"/>
      <c r="J45" s="32"/>
      <c r="K45" s="32"/>
      <c r="L45" s="32"/>
      <c r="M45" s="32"/>
      <c r="N45" s="32"/>
      <c r="O45" s="32"/>
    </row>
    <row r="46" spans="1:15" x14ac:dyDescent="0.25">
      <c r="A46" s="32">
        <v>2027</v>
      </c>
      <c r="B46" s="43">
        <v>3682.11</v>
      </c>
      <c r="C46" s="43">
        <v>0</v>
      </c>
      <c r="D46" s="44">
        <f t="shared" si="2"/>
        <v>0</v>
      </c>
      <c r="E46" s="44">
        <f t="shared" si="3"/>
        <v>-3682.11</v>
      </c>
      <c r="F46" s="46">
        <f>DATE(2027,12,31)</f>
        <v>46752</v>
      </c>
      <c r="G46" s="32"/>
      <c r="H46" s="32"/>
      <c r="I46" s="32"/>
      <c r="J46" s="32"/>
      <c r="K46" s="32"/>
      <c r="L46" s="32"/>
      <c r="M46" s="32"/>
      <c r="N46" s="32"/>
      <c r="O46" s="32"/>
    </row>
    <row r="47" spans="1:15" x14ac:dyDescent="0.25">
      <c r="A47" s="32">
        <v>2028</v>
      </c>
      <c r="B47" s="43">
        <v>0</v>
      </c>
      <c r="C47" s="43">
        <v>0</v>
      </c>
      <c r="D47" s="44">
        <f t="shared" si="2"/>
        <v>0</v>
      </c>
      <c r="E47" s="44">
        <f t="shared" si="3"/>
        <v>0</v>
      </c>
      <c r="F47" s="46">
        <f>DATE(2028,12,31)</f>
        <v>47118</v>
      </c>
      <c r="G47" s="32"/>
      <c r="H47" s="32"/>
      <c r="I47" s="32"/>
      <c r="J47" s="32"/>
      <c r="K47" s="32"/>
      <c r="L47" s="32"/>
      <c r="M47" s="32"/>
      <c r="N47" s="32"/>
      <c r="O47" s="32"/>
    </row>
    <row r="48" spans="1:15" x14ac:dyDescent="0.25">
      <c r="A48" s="32">
        <v>2029</v>
      </c>
      <c r="B48" s="43">
        <v>0</v>
      </c>
      <c r="C48" s="43">
        <v>11809.48</v>
      </c>
      <c r="D48" s="44">
        <f t="shared" si="2"/>
        <v>11936.837696517139</v>
      </c>
      <c r="E48" s="44">
        <f t="shared" si="3"/>
        <v>11936.837696517139</v>
      </c>
      <c r="F48" s="46">
        <f>DATE(2029,12,31)</f>
        <v>47483</v>
      </c>
      <c r="G48" s="32"/>
      <c r="H48" s="32"/>
      <c r="I48" s="32"/>
      <c r="J48" s="32"/>
      <c r="K48" s="32"/>
      <c r="L48" s="32"/>
      <c r="M48" s="32"/>
      <c r="N48" s="32"/>
      <c r="O48" s="32"/>
    </row>
    <row r="49" spans="1:15" x14ac:dyDescent="0.25">
      <c r="A49" s="32">
        <v>2030</v>
      </c>
      <c r="B49" s="43">
        <v>0</v>
      </c>
      <c r="C49" s="43">
        <v>838.98</v>
      </c>
      <c r="D49" s="44">
        <f t="shared" si="2"/>
        <v>848.02786326103683</v>
      </c>
      <c r="E49" s="44">
        <f t="shared" si="3"/>
        <v>848.02786326103683</v>
      </c>
      <c r="F49" s="46">
        <f>DATE(2030,12,31)</f>
        <v>47848</v>
      </c>
      <c r="G49" s="32"/>
      <c r="H49" s="32"/>
      <c r="I49" s="32"/>
      <c r="J49" s="32"/>
      <c r="K49" s="32"/>
      <c r="L49" s="32"/>
      <c r="M49" s="32"/>
      <c r="N49" s="32"/>
      <c r="O49" s="32"/>
    </row>
    <row r="50" spans="1:15" x14ac:dyDescent="0.25">
      <c r="A50" s="32">
        <v>2031</v>
      </c>
      <c r="B50" s="43">
        <v>0</v>
      </c>
      <c r="C50" s="43">
        <v>716.31</v>
      </c>
      <c r="D50" s="44">
        <f t="shared" si="2"/>
        <v>724.03494568704048</v>
      </c>
      <c r="E50" s="44">
        <f t="shared" si="3"/>
        <v>724.03494568704048</v>
      </c>
      <c r="F50" s="46">
        <f>DATE(2031,12,31)</f>
        <v>48213</v>
      </c>
      <c r="G50" s="32"/>
      <c r="H50" s="32"/>
      <c r="I50" s="32"/>
      <c r="J50" s="32"/>
      <c r="K50" s="32"/>
      <c r="L50" s="32"/>
      <c r="M50" s="32"/>
      <c r="N50" s="32"/>
      <c r="O50" s="32"/>
    </row>
    <row r="51" spans="1:15" x14ac:dyDescent="0.25">
      <c r="A51" s="32">
        <v>2032</v>
      </c>
      <c r="B51" s="43">
        <v>0</v>
      </c>
      <c r="C51" s="43">
        <v>345.02</v>
      </c>
      <c r="D51" s="44">
        <f t="shared" si="2"/>
        <v>348.74082026070101</v>
      </c>
      <c r="E51" s="44">
        <f t="shared" si="3"/>
        <v>348.74082026070101</v>
      </c>
      <c r="F51" s="46">
        <f>DATE(2032,12,31)</f>
        <v>48579</v>
      </c>
      <c r="G51" s="32"/>
      <c r="H51" s="32"/>
      <c r="I51" s="32"/>
      <c r="J51" s="32"/>
      <c r="K51" s="32"/>
      <c r="L51" s="32"/>
      <c r="M51" s="32"/>
      <c r="N51" s="32"/>
      <c r="O51" s="32"/>
    </row>
    <row r="52" spans="1:15" x14ac:dyDescent="0.25">
      <c r="A52" s="32">
        <v>2033</v>
      </c>
      <c r="B52" s="43">
        <v>0</v>
      </c>
      <c r="C52" s="43">
        <v>377.27</v>
      </c>
      <c r="D52" s="44">
        <f t="shared" si="2"/>
        <v>381.33861590561321</v>
      </c>
      <c r="E52" s="44">
        <f t="shared" si="3"/>
        <v>381.33861590561321</v>
      </c>
      <c r="F52" s="46">
        <f>DATE(2033,12,31)</f>
        <v>48944</v>
      </c>
      <c r="G52" s="32"/>
      <c r="H52" s="32"/>
      <c r="I52" s="32"/>
      <c r="J52" s="32"/>
      <c r="K52" s="32"/>
      <c r="L52" s="32"/>
      <c r="M52" s="32"/>
      <c r="N52" s="32"/>
      <c r="O52" s="32"/>
    </row>
    <row r="53" spans="1:15" x14ac:dyDescent="0.25">
      <c r="A53" s="32">
        <v>2034</v>
      </c>
      <c r="B53" s="43">
        <v>0</v>
      </c>
      <c r="C53" s="43">
        <v>359.71</v>
      </c>
      <c r="D53" s="44">
        <f t="shared" si="2"/>
        <v>363.58924252500361</v>
      </c>
      <c r="E53" s="44">
        <f t="shared" si="3"/>
        <v>363.58924252500361</v>
      </c>
      <c r="F53" s="46">
        <f>DATE(2034,12,31)</f>
        <v>49309</v>
      </c>
      <c r="G53" s="32"/>
      <c r="H53" s="32"/>
      <c r="I53" s="32"/>
      <c r="J53" s="32"/>
      <c r="K53" s="32"/>
      <c r="L53" s="32"/>
      <c r="M53" s="32"/>
      <c r="N53" s="32"/>
      <c r="O53" s="32"/>
    </row>
    <row r="54" spans="1:15" x14ac:dyDescent="0.25">
      <c r="A54" s="32">
        <v>2035</v>
      </c>
      <c r="B54" s="43">
        <v>0</v>
      </c>
      <c r="C54" s="43">
        <v>341.62</v>
      </c>
      <c r="D54" s="44">
        <f t="shared" si="2"/>
        <v>345.30415343302036</v>
      </c>
      <c r="E54" s="44">
        <f t="shared" si="3"/>
        <v>345.30415343302036</v>
      </c>
      <c r="F54" s="46">
        <f>DATE(2035,12,31)</f>
        <v>49674</v>
      </c>
      <c r="G54" s="32"/>
      <c r="H54" s="32"/>
      <c r="I54" s="32"/>
      <c r="J54" s="32"/>
      <c r="K54" s="32"/>
      <c r="L54" s="32"/>
      <c r="M54" s="32"/>
      <c r="N54" s="32"/>
      <c r="O54" s="32"/>
    </row>
    <row r="55" spans="1:15" x14ac:dyDescent="0.25">
      <c r="A55" s="32">
        <v>2036</v>
      </c>
      <c r="B55" s="43">
        <v>0</v>
      </c>
      <c r="C55" s="43">
        <v>322.99</v>
      </c>
      <c r="D55" s="44">
        <f t="shared" si="2"/>
        <v>326.47324078605249</v>
      </c>
      <c r="E55" s="44">
        <f t="shared" si="3"/>
        <v>326.47324078605249</v>
      </c>
      <c r="F55" s="46">
        <f>DATE(2036,12,31)</f>
        <v>50040</v>
      </c>
      <c r="G55" s="32"/>
      <c r="H55" s="32"/>
      <c r="I55" s="32"/>
      <c r="J55" s="32"/>
      <c r="K55" s="32"/>
      <c r="L55" s="32"/>
      <c r="M55" s="32"/>
      <c r="N55" s="32"/>
      <c r="O55" s="32"/>
    </row>
    <row r="56" spans="1:15" x14ac:dyDescent="0.25">
      <c r="A56" s="32">
        <v>2037</v>
      </c>
      <c r="B56" s="43">
        <v>0</v>
      </c>
      <c r="C56" s="43">
        <v>2803.79</v>
      </c>
      <c r="D56" s="44">
        <f t="shared" si="2"/>
        <v>2834.0270837596395</v>
      </c>
      <c r="E56" s="44">
        <f t="shared" si="3"/>
        <v>2834.0270837596395</v>
      </c>
      <c r="F56" s="46">
        <f>DATE(2037,12,31)</f>
        <v>50405</v>
      </c>
      <c r="G56" s="32"/>
      <c r="H56" s="32"/>
      <c r="I56" s="32"/>
      <c r="J56" s="32"/>
      <c r="K56" s="32"/>
      <c r="L56" s="32"/>
      <c r="M56" s="32"/>
      <c r="N56" s="32"/>
      <c r="O56" s="32"/>
    </row>
    <row r="57" spans="1:15" s="6" customFormat="1" x14ac:dyDescent="0.25">
      <c r="A57" s="33" t="s">
        <v>150</v>
      </c>
      <c r="B57" s="45">
        <f>SUM(B45:B56)</f>
        <v>10000</v>
      </c>
      <c r="C57" s="45">
        <f>SUM(C45:C56)</f>
        <v>17915.169999999998</v>
      </c>
      <c r="D57" s="45">
        <f>SUM(D45:D56)</f>
        <v>18108.373662135247</v>
      </c>
      <c r="E57" s="45">
        <f>SUM(E45:E56)</f>
        <v>8108.3736621352473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</row>
    <row r="58" spans="1:15" x14ac:dyDescent="0.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</row>
    <row r="59" spans="1:15" x14ac:dyDescent="0.25">
      <c r="A59" s="18" t="s">
        <v>380</v>
      </c>
      <c r="B59" s="47">
        <f>XIRR(E45:E56,F45:F56)</f>
        <v>0.16247286200523378</v>
      </c>
      <c r="C59" s="48">
        <v>0.16200000000000001</v>
      </c>
      <c r="D59" s="48">
        <f>B59-C59</f>
        <v>4.7286200523377619E-4</v>
      </c>
      <c r="E59" s="33" t="s">
        <v>381</v>
      </c>
      <c r="F59" s="32"/>
      <c r="G59" s="32"/>
      <c r="H59" s="32"/>
      <c r="I59" s="32"/>
      <c r="J59" s="32"/>
      <c r="K59" s="32"/>
      <c r="L59" s="32"/>
      <c r="M59" s="32"/>
      <c r="N59" s="32"/>
      <c r="O59" s="32"/>
    </row>
    <row r="60" spans="1:15" x14ac:dyDescent="0.25">
      <c r="A60" s="18" t="s">
        <v>382</v>
      </c>
      <c r="B60" s="49">
        <f>SUM(D45:D56)/SUM(B45:B56)</f>
        <v>1.8108373662135246</v>
      </c>
      <c r="C60" s="50">
        <v>1.792</v>
      </c>
      <c r="D60" s="50">
        <f>B60-C60</f>
        <v>1.8837366213524609E-2</v>
      </c>
      <c r="E60" s="33" t="s">
        <v>383</v>
      </c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spans="1:15" x14ac:dyDescent="0.25">
      <c r="A61" s="33" t="s">
        <v>384</v>
      </c>
      <c r="B61" s="45">
        <f>N32</f>
        <v>8108.3736621352436</v>
      </c>
      <c r="C61" s="45">
        <v>7915.17</v>
      </c>
      <c r="D61" s="45">
        <f>B61-C61</f>
        <v>193.20366213524358</v>
      </c>
      <c r="E61" s="33" t="s">
        <v>385</v>
      </c>
      <c r="F61" s="32"/>
      <c r="G61" s="32"/>
      <c r="H61" s="32"/>
      <c r="I61" s="32"/>
      <c r="J61" s="32"/>
      <c r="K61" s="32"/>
      <c r="L61" s="32"/>
      <c r="M61" s="32"/>
      <c r="N61" s="32"/>
      <c r="O61" s="32"/>
    </row>
    <row r="62" spans="1:15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</row>
    <row r="63" spans="1:15" s="6" customFormat="1" x14ac:dyDescent="0.25">
      <c r="A63" s="34" t="s">
        <v>386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</row>
    <row r="64" spans="1:15" x14ac:dyDescent="0.25">
      <c r="A64" s="5" t="s">
        <v>387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</row>
    <row r="65" spans="1:15" s="6" customFormat="1" x14ac:dyDescent="0.25">
      <c r="A65" s="35" t="s">
        <v>388</v>
      </c>
      <c r="B65" s="35" t="s">
        <v>389</v>
      </c>
      <c r="C65" s="35" t="s">
        <v>390</v>
      </c>
      <c r="D65" s="35" t="s">
        <v>391</v>
      </c>
      <c r="E65" s="35"/>
      <c r="F65" s="35"/>
      <c r="G65" s="33"/>
      <c r="H65" s="33"/>
      <c r="I65" s="33"/>
      <c r="J65" s="33"/>
      <c r="K65" s="33"/>
      <c r="L65" s="33"/>
      <c r="M65" s="33"/>
      <c r="N65" s="33"/>
      <c r="O65" s="33"/>
    </row>
    <row r="66" spans="1:15" x14ac:dyDescent="0.25">
      <c r="A66" s="32" t="s">
        <v>392</v>
      </c>
      <c r="B66" s="32" t="s">
        <v>393</v>
      </c>
      <c r="C66" s="51">
        <v>1</v>
      </c>
      <c r="D66" s="51">
        <v>0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</row>
    <row r="67" spans="1:15" x14ac:dyDescent="0.25">
      <c r="A67" s="32" t="s">
        <v>394</v>
      </c>
      <c r="B67" s="32" t="s">
        <v>395</v>
      </c>
      <c r="C67" s="51">
        <v>0.9</v>
      </c>
      <c r="D67" s="51">
        <v>0.1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</row>
    <row r="68" spans="1:15" x14ac:dyDescent="0.25">
      <c r="A68" s="32" t="s">
        <v>396</v>
      </c>
      <c r="B68" s="32" t="s">
        <v>397</v>
      </c>
      <c r="C68" s="51">
        <v>0.8</v>
      </c>
      <c r="D68" s="51">
        <v>0.2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</row>
    <row r="69" spans="1:15" x14ac:dyDescent="0.25">
      <c r="A69" s="32" t="s">
        <v>398</v>
      </c>
      <c r="B69" s="32" t="s">
        <v>399</v>
      </c>
      <c r="C69" s="51">
        <v>0.6</v>
      </c>
      <c r="D69" s="51">
        <v>0.4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</row>
    <row r="70" spans="1:15" x14ac:dyDescent="0.25">
      <c r="A70" s="5" t="s">
        <v>400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DE5B-5453-4642-A5C0-DDF2D7950819}">
  <dimension ref="A1:G100"/>
  <sheetViews>
    <sheetView topLeftCell="A6" workbookViewId="0">
      <selection activeCell="D12" sqref="D12"/>
    </sheetView>
  </sheetViews>
  <sheetFormatPr defaultRowHeight="15" x14ac:dyDescent="0.25"/>
  <cols>
    <col min="1" max="1" width="30.7109375" customWidth="1"/>
    <col min="2" max="7" width="15.7109375" customWidth="1"/>
  </cols>
  <sheetData>
    <row r="1" spans="1:7" ht="17.25" x14ac:dyDescent="0.3">
      <c r="A1" s="4" t="s">
        <v>439</v>
      </c>
      <c r="B1" s="32"/>
      <c r="C1" s="32"/>
      <c r="D1" s="32"/>
      <c r="E1" s="32"/>
      <c r="F1" s="32"/>
      <c r="G1" s="32"/>
    </row>
    <row r="2" spans="1:7" x14ac:dyDescent="0.25">
      <c r="A2" s="5" t="s">
        <v>440</v>
      </c>
      <c r="B2" s="32"/>
      <c r="C2" s="32"/>
      <c r="D2" s="32"/>
      <c r="E2" s="32"/>
      <c r="F2" s="32"/>
      <c r="G2" s="32"/>
    </row>
    <row r="3" spans="1:7" x14ac:dyDescent="0.25">
      <c r="A3" s="33" t="s">
        <v>137</v>
      </c>
      <c r="B3" s="33" t="str">
        <f>Inputs!B3</f>
        <v>Base</v>
      </c>
      <c r="C3" s="32"/>
      <c r="D3" s="32"/>
      <c r="E3" s="32"/>
      <c r="F3" s="32"/>
      <c r="G3" s="32"/>
    </row>
    <row r="4" spans="1:7" x14ac:dyDescent="0.25">
      <c r="A4" s="32"/>
      <c r="B4" s="32"/>
      <c r="C4" s="32"/>
      <c r="D4" s="32"/>
      <c r="E4" s="32"/>
      <c r="F4" s="32"/>
      <c r="G4" s="32"/>
    </row>
    <row r="5" spans="1:7" s="6" customFormat="1" x14ac:dyDescent="0.25">
      <c r="A5" s="34" t="s">
        <v>441</v>
      </c>
      <c r="B5" s="34"/>
      <c r="C5" s="34"/>
      <c r="D5" s="34"/>
      <c r="E5" s="34"/>
      <c r="F5" s="34"/>
      <c r="G5" s="34"/>
    </row>
    <row r="6" spans="1:7" x14ac:dyDescent="0.25">
      <c r="A6" s="32" t="s">
        <v>90</v>
      </c>
      <c r="B6" s="63">
        <f>Inputs!G60</f>
        <v>5000</v>
      </c>
      <c r="C6" s="32"/>
      <c r="D6" s="32"/>
      <c r="E6" s="32"/>
      <c r="F6" s="32"/>
      <c r="G6" s="32"/>
    </row>
    <row r="7" spans="1:7" x14ac:dyDescent="0.25">
      <c r="A7" s="32" t="s">
        <v>442</v>
      </c>
      <c r="B7" s="63">
        <f>Inputs!G59</f>
        <v>10000</v>
      </c>
      <c r="C7" s="32"/>
      <c r="D7" s="32"/>
      <c r="E7" s="32"/>
      <c r="F7" s="32"/>
      <c r="G7" s="32"/>
    </row>
    <row r="8" spans="1:7" x14ac:dyDescent="0.25">
      <c r="A8" s="32" t="s">
        <v>443</v>
      </c>
      <c r="B8" s="63">
        <f>Inputs!G58</f>
        <v>10000</v>
      </c>
      <c r="C8" s="32"/>
      <c r="D8" s="32"/>
      <c r="E8" s="32"/>
      <c r="F8" s="32"/>
      <c r="G8" s="32"/>
    </row>
    <row r="9" spans="1:7" x14ac:dyDescent="0.25">
      <c r="A9" s="32" t="s">
        <v>444</v>
      </c>
      <c r="B9" s="67">
        <f>(Revenue!C29-Revenue!D29-Revenue!F29)/108855</f>
        <v>1</v>
      </c>
      <c r="C9" s="32"/>
      <c r="D9" s="32"/>
      <c r="E9" s="32"/>
      <c r="F9" s="32"/>
      <c r="G9" s="32"/>
    </row>
    <row r="10" spans="1:7" x14ac:dyDescent="0.25">
      <c r="A10" s="32" t="s">
        <v>445</v>
      </c>
      <c r="B10" s="67">
        <f>('Development Cost'!B26)/67403.6</f>
        <v>1.0000000267230384</v>
      </c>
      <c r="C10" s="32"/>
      <c r="D10" s="32"/>
      <c r="E10" s="32"/>
      <c r="F10" s="32"/>
      <c r="G10" s="32"/>
    </row>
    <row r="11" spans="1:7" x14ac:dyDescent="0.25">
      <c r="A11" s="32"/>
      <c r="B11" s="63"/>
      <c r="C11" s="32"/>
      <c r="D11" s="32"/>
      <c r="E11" s="32"/>
      <c r="F11" s="32"/>
      <c r="G11" s="32"/>
    </row>
    <row r="12" spans="1:7" s="6" customFormat="1" x14ac:dyDescent="0.25">
      <c r="A12" s="34" t="s">
        <v>446</v>
      </c>
      <c r="B12" s="64"/>
      <c r="C12" s="34"/>
      <c r="D12" s="34"/>
      <c r="E12" s="34"/>
      <c r="F12" s="34"/>
      <c r="G12" s="34"/>
    </row>
    <row r="13" spans="1:7" x14ac:dyDescent="0.25">
      <c r="A13" s="18" t="s">
        <v>447</v>
      </c>
      <c r="B13" s="65">
        <f>MAX(0,-MIN(G17:G100))</f>
        <v>8929.2512166990928</v>
      </c>
      <c r="C13" s="32"/>
      <c r="D13" s="32"/>
      <c r="E13" s="32"/>
      <c r="F13" s="32"/>
      <c r="G13" s="32"/>
    </row>
    <row r="14" spans="1:7" x14ac:dyDescent="0.25">
      <c r="A14" s="33" t="s">
        <v>448</v>
      </c>
      <c r="B14" s="66">
        <f>B8-B13</f>
        <v>1070.7487833009072</v>
      </c>
      <c r="C14" s="32"/>
      <c r="D14" s="32"/>
      <c r="E14" s="32"/>
      <c r="F14" s="32"/>
      <c r="G14" s="32"/>
    </row>
    <row r="15" spans="1:7" x14ac:dyDescent="0.25">
      <c r="A15" s="33" t="s">
        <v>449</v>
      </c>
      <c r="B15" s="33" t="str">
        <f>IF(B13&gt;20000,"UNDERCAPITALIZED: shortfall "&amp;TEXT(B13-20000,"#,##0"),"within $20M revolver+equity capacity")</f>
        <v>within $20M revolver+equity capacity</v>
      </c>
      <c r="C15" s="32"/>
      <c r="D15" s="32"/>
      <c r="E15" s="32"/>
      <c r="F15" s="32"/>
      <c r="G15" s="32"/>
    </row>
    <row r="16" spans="1:7" s="6" customFormat="1" x14ac:dyDescent="0.25">
      <c r="A16" s="35" t="s">
        <v>450</v>
      </c>
      <c r="B16" s="35" t="s">
        <v>153</v>
      </c>
      <c r="C16" s="35" t="s">
        <v>451</v>
      </c>
      <c r="D16" s="35" t="s">
        <v>452</v>
      </c>
      <c r="E16" s="35" t="s">
        <v>453</v>
      </c>
      <c r="F16" s="35" t="s">
        <v>454</v>
      </c>
      <c r="G16" s="35" t="s">
        <v>455</v>
      </c>
    </row>
    <row r="17" spans="1:7" x14ac:dyDescent="0.25">
      <c r="A17" s="32">
        <v>1</v>
      </c>
      <c r="B17" s="32">
        <v>2026</v>
      </c>
      <c r="C17" s="68">
        <v>0</v>
      </c>
      <c r="D17" s="68">
        <v>193.35400000000001</v>
      </c>
      <c r="E17" s="68">
        <v>-307.697</v>
      </c>
      <c r="F17" s="63">
        <f t="shared" ref="F17:F48" si="0">C17*$B$9-D17*$B$10+E17</f>
        <v>-501.05100516700639</v>
      </c>
      <c r="G17" s="63">
        <f>$B$6+F17</f>
        <v>4498.9489948329938</v>
      </c>
    </row>
    <row r="18" spans="1:7" x14ac:dyDescent="0.25">
      <c r="A18" s="32">
        <v>2</v>
      </c>
      <c r="B18" s="32">
        <v>2026</v>
      </c>
      <c r="C18" s="68">
        <v>0</v>
      </c>
      <c r="D18" s="68">
        <v>193.35400000000001</v>
      </c>
      <c r="E18" s="68">
        <v>-307.697</v>
      </c>
      <c r="F18" s="63">
        <f t="shared" si="0"/>
        <v>-501.05100516700639</v>
      </c>
      <c r="G18" s="63">
        <f t="shared" ref="G18:G49" si="1">G17+F18</f>
        <v>3997.8979896659876</v>
      </c>
    </row>
    <row r="19" spans="1:7" x14ac:dyDescent="0.25">
      <c r="A19" s="32">
        <v>3</v>
      </c>
      <c r="B19" s="32">
        <v>2026</v>
      </c>
      <c r="C19" s="68">
        <v>0</v>
      </c>
      <c r="D19" s="68">
        <v>193.35400000000001</v>
      </c>
      <c r="E19" s="68">
        <v>-307.697</v>
      </c>
      <c r="F19" s="63">
        <f t="shared" si="0"/>
        <v>-501.05100516700639</v>
      </c>
      <c r="G19" s="63">
        <f t="shared" si="1"/>
        <v>3496.8469844989813</v>
      </c>
    </row>
    <row r="20" spans="1:7" x14ac:dyDescent="0.25">
      <c r="A20" s="32">
        <v>4</v>
      </c>
      <c r="B20" s="32">
        <v>2026</v>
      </c>
      <c r="C20" s="68">
        <v>0</v>
      </c>
      <c r="D20" s="68">
        <v>193.35400000000001</v>
      </c>
      <c r="E20" s="68">
        <v>-307.697</v>
      </c>
      <c r="F20" s="63">
        <f t="shared" si="0"/>
        <v>-501.05100516700639</v>
      </c>
      <c r="G20" s="63">
        <f t="shared" si="1"/>
        <v>2995.7959793319751</v>
      </c>
    </row>
    <row r="21" spans="1:7" x14ac:dyDescent="0.25">
      <c r="A21" s="32">
        <v>5</v>
      </c>
      <c r="B21" s="32">
        <v>2026</v>
      </c>
      <c r="C21" s="68">
        <v>0</v>
      </c>
      <c r="D21" s="68">
        <v>193.35400000000001</v>
      </c>
      <c r="E21" s="68">
        <v>-307.697</v>
      </c>
      <c r="F21" s="63">
        <f t="shared" si="0"/>
        <v>-501.05100516700639</v>
      </c>
      <c r="G21" s="63">
        <f t="shared" si="1"/>
        <v>2494.7449741649689</v>
      </c>
    </row>
    <row r="22" spans="1:7" x14ac:dyDescent="0.25">
      <c r="A22" s="32">
        <v>6</v>
      </c>
      <c r="B22" s="32">
        <v>2026</v>
      </c>
      <c r="C22" s="68">
        <v>0</v>
      </c>
      <c r="D22" s="68">
        <v>193.35400000000001</v>
      </c>
      <c r="E22" s="68">
        <v>-307.697</v>
      </c>
      <c r="F22" s="63">
        <f t="shared" si="0"/>
        <v>-501.05100516700639</v>
      </c>
      <c r="G22" s="63">
        <f t="shared" si="1"/>
        <v>1993.6939689979624</v>
      </c>
    </row>
    <row r="23" spans="1:7" x14ac:dyDescent="0.25">
      <c r="A23" s="32">
        <v>7</v>
      </c>
      <c r="B23" s="32">
        <v>2026</v>
      </c>
      <c r="C23" s="68">
        <v>0</v>
      </c>
      <c r="D23" s="68">
        <v>193.35400000000001</v>
      </c>
      <c r="E23" s="68">
        <v>-307.697</v>
      </c>
      <c r="F23" s="63">
        <f t="shared" si="0"/>
        <v>-501.05100516700639</v>
      </c>
      <c r="G23" s="63">
        <f t="shared" si="1"/>
        <v>1492.642963830956</v>
      </c>
    </row>
    <row r="24" spans="1:7" x14ac:dyDescent="0.25">
      <c r="A24" s="32">
        <v>8</v>
      </c>
      <c r="B24" s="32">
        <v>2026</v>
      </c>
      <c r="C24" s="68">
        <v>0</v>
      </c>
      <c r="D24" s="68">
        <v>193.35400000000001</v>
      </c>
      <c r="E24" s="68">
        <v>-307.697</v>
      </c>
      <c r="F24" s="63">
        <f t="shared" si="0"/>
        <v>-501.05100516700639</v>
      </c>
      <c r="G24" s="63">
        <f t="shared" si="1"/>
        <v>991.59195866394953</v>
      </c>
    </row>
    <row r="25" spans="1:7" x14ac:dyDescent="0.25">
      <c r="A25" s="32">
        <v>9</v>
      </c>
      <c r="B25" s="32">
        <v>2026</v>
      </c>
      <c r="C25" s="68">
        <v>0</v>
      </c>
      <c r="D25" s="68">
        <v>193.35400000000001</v>
      </c>
      <c r="E25" s="68">
        <v>-307.697</v>
      </c>
      <c r="F25" s="63">
        <f t="shared" si="0"/>
        <v>-501.05100516700639</v>
      </c>
      <c r="G25" s="63">
        <f t="shared" si="1"/>
        <v>490.54095349694313</v>
      </c>
    </row>
    <row r="26" spans="1:7" x14ac:dyDescent="0.25">
      <c r="A26" s="32">
        <v>10</v>
      </c>
      <c r="B26" s="32">
        <v>2026</v>
      </c>
      <c r="C26" s="68">
        <v>0</v>
      </c>
      <c r="D26" s="68">
        <v>193.35400000000001</v>
      </c>
      <c r="E26" s="68">
        <v>-307.697</v>
      </c>
      <c r="F26" s="63">
        <f t="shared" si="0"/>
        <v>-501.05100516700639</v>
      </c>
      <c r="G26" s="63">
        <f t="shared" si="1"/>
        <v>-10.510051670063262</v>
      </c>
    </row>
    <row r="27" spans="1:7" x14ac:dyDescent="0.25">
      <c r="A27" s="32">
        <v>11</v>
      </c>
      <c r="B27" s="32">
        <v>2026</v>
      </c>
      <c r="C27" s="68">
        <v>0</v>
      </c>
      <c r="D27" s="68">
        <v>193.35400000000001</v>
      </c>
      <c r="E27" s="68">
        <v>-307.697</v>
      </c>
      <c r="F27" s="63">
        <f t="shared" si="0"/>
        <v>-501.05100516700639</v>
      </c>
      <c r="G27" s="63">
        <f t="shared" si="1"/>
        <v>-511.56105683706966</v>
      </c>
    </row>
    <row r="28" spans="1:7" x14ac:dyDescent="0.25">
      <c r="A28" s="32">
        <v>12</v>
      </c>
      <c r="B28" s="32">
        <v>2027</v>
      </c>
      <c r="C28" s="68">
        <v>0</v>
      </c>
      <c r="D28" s="68">
        <v>598.21799999999996</v>
      </c>
      <c r="E28" s="68">
        <v>-243.55099999999999</v>
      </c>
      <c r="F28" s="63">
        <f t="shared" si="0"/>
        <v>-841.76901598620248</v>
      </c>
      <c r="G28" s="63">
        <f t="shared" si="1"/>
        <v>-1353.3300728232721</v>
      </c>
    </row>
    <row r="29" spans="1:7" x14ac:dyDescent="0.25">
      <c r="A29" s="32">
        <v>13</v>
      </c>
      <c r="B29" s="32">
        <v>2027</v>
      </c>
      <c r="C29" s="68">
        <v>0</v>
      </c>
      <c r="D29" s="68">
        <v>598.21799999999996</v>
      </c>
      <c r="E29" s="68">
        <v>-243.55099999999999</v>
      </c>
      <c r="F29" s="63">
        <f t="shared" si="0"/>
        <v>-841.76901598620248</v>
      </c>
      <c r="G29" s="63">
        <f t="shared" si="1"/>
        <v>-2195.0990888094748</v>
      </c>
    </row>
    <row r="30" spans="1:7" x14ac:dyDescent="0.25">
      <c r="A30" s="32">
        <v>14</v>
      </c>
      <c r="B30" s="32">
        <v>2027</v>
      </c>
      <c r="C30" s="68">
        <v>0</v>
      </c>
      <c r="D30" s="68">
        <v>598.21799999999996</v>
      </c>
      <c r="E30" s="68">
        <v>-243.55099999999999</v>
      </c>
      <c r="F30" s="63">
        <f t="shared" si="0"/>
        <v>-841.76901598620248</v>
      </c>
      <c r="G30" s="63">
        <f t="shared" si="1"/>
        <v>-3036.868104795677</v>
      </c>
    </row>
    <row r="31" spans="1:7" x14ac:dyDescent="0.25">
      <c r="A31" s="32">
        <v>15</v>
      </c>
      <c r="B31" s="32">
        <v>2027</v>
      </c>
      <c r="C31" s="68">
        <v>0</v>
      </c>
      <c r="D31" s="68">
        <v>598.21799999999996</v>
      </c>
      <c r="E31" s="68">
        <v>-243.55099999999999</v>
      </c>
      <c r="F31" s="63">
        <f t="shared" si="0"/>
        <v>-841.76901598620248</v>
      </c>
      <c r="G31" s="63">
        <f t="shared" si="1"/>
        <v>-3878.6371207818793</v>
      </c>
    </row>
    <row r="32" spans="1:7" x14ac:dyDescent="0.25">
      <c r="A32" s="32">
        <v>16</v>
      </c>
      <c r="B32" s="32">
        <v>2027</v>
      </c>
      <c r="C32" s="68">
        <v>0</v>
      </c>
      <c r="D32" s="68">
        <v>598.21799999999996</v>
      </c>
      <c r="E32" s="68">
        <v>-243.55099999999999</v>
      </c>
      <c r="F32" s="63">
        <f t="shared" si="0"/>
        <v>-841.76901598620248</v>
      </c>
      <c r="G32" s="63">
        <f t="shared" si="1"/>
        <v>-4720.4061367680815</v>
      </c>
    </row>
    <row r="33" spans="1:7" x14ac:dyDescent="0.25">
      <c r="A33" s="32">
        <v>17</v>
      </c>
      <c r="B33" s="32">
        <v>2027</v>
      </c>
      <c r="C33" s="68">
        <v>0</v>
      </c>
      <c r="D33" s="68">
        <v>598.21799999999996</v>
      </c>
      <c r="E33" s="68">
        <v>-243.55099999999999</v>
      </c>
      <c r="F33" s="63">
        <f t="shared" si="0"/>
        <v>-841.76901598620248</v>
      </c>
      <c r="G33" s="63">
        <f t="shared" si="1"/>
        <v>-5562.1751527542838</v>
      </c>
    </row>
    <row r="34" spans="1:7" x14ac:dyDescent="0.25">
      <c r="A34" s="32">
        <v>18</v>
      </c>
      <c r="B34" s="32">
        <v>2027</v>
      </c>
      <c r="C34" s="68">
        <v>0</v>
      </c>
      <c r="D34" s="68">
        <v>598.21799999999996</v>
      </c>
      <c r="E34" s="68">
        <v>-243.55099999999999</v>
      </c>
      <c r="F34" s="63">
        <f t="shared" si="0"/>
        <v>-841.76901598620248</v>
      </c>
      <c r="G34" s="63">
        <f t="shared" si="1"/>
        <v>-6403.944168740486</v>
      </c>
    </row>
    <row r="35" spans="1:7" x14ac:dyDescent="0.25">
      <c r="A35" s="32">
        <v>19</v>
      </c>
      <c r="B35" s="32">
        <v>2027</v>
      </c>
      <c r="C35" s="68">
        <v>0</v>
      </c>
      <c r="D35" s="68">
        <v>598.21799999999996</v>
      </c>
      <c r="E35" s="68">
        <v>-243.55099999999999</v>
      </c>
      <c r="F35" s="63">
        <f t="shared" si="0"/>
        <v>-841.76901598620248</v>
      </c>
      <c r="G35" s="63">
        <f t="shared" si="1"/>
        <v>-7245.7131847266883</v>
      </c>
    </row>
    <row r="36" spans="1:7" x14ac:dyDescent="0.25">
      <c r="A36" s="32">
        <v>20</v>
      </c>
      <c r="B36" s="32">
        <v>2027</v>
      </c>
      <c r="C36" s="68">
        <v>0</v>
      </c>
      <c r="D36" s="68">
        <v>598.21799999999996</v>
      </c>
      <c r="E36" s="68">
        <v>-243.55099999999999</v>
      </c>
      <c r="F36" s="63">
        <f t="shared" si="0"/>
        <v>-841.76901598620248</v>
      </c>
      <c r="G36" s="63">
        <f t="shared" si="1"/>
        <v>-8087.4822007128905</v>
      </c>
    </row>
    <row r="37" spans="1:7" x14ac:dyDescent="0.25">
      <c r="A37" s="32">
        <v>21</v>
      </c>
      <c r="B37" s="32">
        <v>2027</v>
      </c>
      <c r="C37" s="68">
        <v>0</v>
      </c>
      <c r="D37" s="68">
        <v>598.21799999999996</v>
      </c>
      <c r="E37" s="68">
        <v>-243.55099999999999</v>
      </c>
      <c r="F37" s="63">
        <f t="shared" si="0"/>
        <v>-841.76901598620248</v>
      </c>
      <c r="G37" s="63">
        <f t="shared" si="1"/>
        <v>-8929.2512166990928</v>
      </c>
    </row>
    <row r="38" spans="1:7" x14ac:dyDescent="0.25">
      <c r="A38" s="32">
        <v>22</v>
      </c>
      <c r="B38" s="32">
        <v>2027</v>
      </c>
      <c r="C38" s="68">
        <v>3650</v>
      </c>
      <c r="D38" s="68">
        <v>598.21799999999996</v>
      </c>
      <c r="E38" s="68">
        <v>529.06299999999999</v>
      </c>
      <c r="F38" s="63">
        <f t="shared" si="0"/>
        <v>3580.8449840137973</v>
      </c>
      <c r="G38" s="63">
        <f t="shared" si="1"/>
        <v>-5348.4062326852954</v>
      </c>
    </row>
    <row r="39" spans="1:7" x14ac:dyDescent="0.25">
      <c r="A39" s="32">
        <v>23</v>
      </c>
      <c r="B39" s="32">
        <v>2027</v>
      </c>
      <c r="C39" s="68">
        <v>0</v>
      </c>
      <c r="D39" s="68">
        <v>598.21799999999996</v>
      </c>
      <c r="E39" s="68">
        <v>-243.55099999999999</v>
      </c>
      <c r="F39" s="63">
        <f t="shared" si="0"/>
        <v>-841.76901598620248</v>
      </c>
      <c r="G39" s="63">
        <f t="shared" si="1"/>
        <v>-6190.1752486714977</v>
      </c>
    </row>
    <row r="40" spans="1:7" x14ac:dyDescent="0.25">
      <c r="A40" s="32">
        <v>24</v>
      </c>
      <c r="B40" s="32">
        <v>2028</v>
      </c>
      <c r="C40" s="68">
        <v>3650</v>
      </c>
      <c r="D40" s="68">
        <v>1442.873</v>
      </c>
      <c r="E40" s="68">
        <v>677.59100000000001</v>
      </c>
      <c r="F40" s="63">
        <f t="shared" si="0"/>
        <v>2884.7179614420493</v>
      </c>
      <c r="G40" s="63">
        <f t="shared" si="1"/>
        <v>-3305.4572872294484</v>
      </c>
    </row>
    <row r="41" spans="1:7" x14ac:dyDescent="0.25">
      <c r="A41" s="32">
        <v>25</v>
      </c>
      <c r="B41" s="32">
        <v>2028</v>
      </c>
      <c r="C41" s="68">
        <v>0</v>
      </c>
      <c r="D41" s="68">
        <v>1442.873</v>
      </c>
      <c r="E41" s="68">
        <v>-95.022999999999996</v>
      </c>
      <c r="F41" s="63">
        <f t="shared" si="0"/>
        <v>-1537.8960385579505</v>
      </c>
      <c r="G41" s="63">
        <f t="shared" si="1"/>
        <v>-4843.3533257873987</v>
      </c>
    </row>
    <row r="42" spans="1:7" x14ac:dyDescent="0.25">
      <c r="A42" s="32">
        <v>26</v>
      </c>
      <c r="B42" s="32">
        <v>2028</v>
      </c>
      <c r="C42" s="68">
        <v>3650</v>
      </c>
      <c r="D42" s="68">
        <v>1442.873</v>
      </c>
      <c r="E42" s="68">
        <v>677.59100000000001</v>
      </c>
      <c r="F42" s="63">
        <f t="shared" si="0"/>
        <v>2884.7179614420493</v>
      </c>
      <c r="G42" s="63">
        <f t="shared" si="1"/>
        <v>-1958.6353643453494</v>
      </c>
    </row>
    <row r="43" spans="1:7" x14ac:dyDescent="0.25">
      <c r="A43" s="32">
        <v>27</v>
      </c>
      <c r="B43" s="32">
        <v>2028</v>
      </c>
      <c r="C43" s="68">
        <v>0</v>
      </c>
      <c r="D43" s="68">
        <v>1442.873</v>
      </c>
      <c r="E43" s="68">
        <v>-95.022999999999996</v>
      </c>
      <c r="F43" s="63">
        <f t="shared" si="0"/>
        <v>-1537.8960385579505</v>
      </c>
      <c r="G43" s="63">
        <f t="shared" si="1"/>
        <v>-3496.5314029032997</v>
      </c>
    </row>
    <row r="44" spans="1:7" x14ac:dyDescent="0.25">
      <c r="A44" s="32">
        <v>28</v>
      </c>
      <c r="B44" s="32">
        <v>2028</v>
      </c>
      <c r="C44" s="68">
        <v>3650</v>
      </c>
      <c r="D44" s="68">
        <v>1442.873</v>
      </c>
      <c r="E44" s="68">
        <v>677.59100000000001</v>
      </c>
      <c r="F44" s="63">
        <f t="shared" si="0"/>
        <v>2884.7179614420493</v>
      </c>
      <c r="G44" s="63">
        <f t="shared" si="1"/>
        <v>-611.81344146125048</v>
      </c>
    </row>
    <row r="45" spans="1:7" x14ac:dyDescent="0.25">
      <c r="A45" s="32">
        <v>29</v>
      </c>
      <c r="B45" s="32">
        <v>2028</v>
      </c>
      <c r="C45" s="68">
        <v>0</v>
      </c>
      <c r="D45" s="68">
        <v>1442.873</v>
      </c>
      <c r="E45" s="68">
        <v>-95.022999999999996</v>
      </c>
      <c r="F45" s="63">
        <f t="shared" si="0"/>
        <v>-1537.8960385579505</v>
      </c>
      <c r="G45" s="63">
        <f t="shared" si="1"/>
        <v>-2149.7094800192008</v>
      </c>
    </row>
    <row r="46" spans="1:7" x14ac:dyDescent="0.25">
      <c r="A46" s="32">
        <v>30</v>
      </c>
      <c r="B46" s="32">
        <v>2028</v>
      </c>
      <c r="C46" s="68">
        <v>3650</v>
      </c>
      <c r="D46" s="68">
        <v>1442.873</v>
      </c>
      <c r="E46" s="68">
        <v>677.59100000000001</v>
      </c>
      <c r="F46" s="63">
        <f t="shared" si="0"/>
        <v>2884.7179614420493</v>
      </c>
      <c r="G46" s="63">
        <f t="shared" si="1"/>
        <v>735.00848142284849</v>
      </c>
    </row>
    <row r="47" spans="1:7" x14ac:dyDescent="0.25">
      <c r="A47" s="32">
        <v>31</v>
      </c>
      <c r="B47" s="32">
        <v>2028</v>
      </c>
      <c r="C47" s="68">
        <v>0</v>
      </c>
      <c r="D47" s="68">
        <v>1442.873</v>
      </c>
      <c r="E47" s="68">
        <v>-95.022999999999996</v>
      </c>
      <c r="F47" s="63">
        <f t="shared" si="0"/>
        <v>-1537.8960385579505</v>
      </c>
      <c r="G47" s="63">
        <f t="shared" si="1"/>
        <v>-802.88755713510204</v>
      </c>
    </row>
    <row r="48" spans="1:7" x14ac:dyDescent="0.25">
      <c r="A48" s="32">
        <v>32</v>
      </c>
      <c r="B48" s="32">
        <v>2028</v>
      </c>
      <c r="C48" s="68">
        <v>3650</v>
      </c>
      <c r="D48" s="68">
        <v>1442.873</v>
      </c>
      <c r="E48" s="68">
        <v>677.59100000000001</v>
      </c>
      <c r="F48" s="63">
        <f t="shared" si="0"/>
        <v>2884.7179614420493</v>
      </c>
      <c r="G48" s="63">
        <f t="shared" si="1"/>
        <v>2081.8304043069475</v>
      </c>
    </row>
    <row r="49" spans="1:7" x14ac:dyDescent="0.25">
      <c r="A49" s="32">
        <v>33</v>
      </c>
      <c r="B49" s="32">
        <v>2028</v>
      </c>
      <c r="C49" s="68">
        <v>0</v>
      </c>
      <c r="D49" s="68">
        <v>1442.873</v>
      </c>
      <c r="E49" s="68">
        <v>-95.022999999999996</v>
      </c>
      <c r="F49" s="63">
        <f t="shared" ref="F49:F80" si="2">C49*$B$9-D49*$B$10+E49</f>
        <v>-1537.8960385579505</v>
      </c>
      <c r="G49" s="63">
        <f t="shared" si="1"/>
        <v>543.93436574899692</v>
      </c>
    </row>
    <row r="50" spans="1:7" x14ac:dyDescent="0.25">
      <c r="A50" s="32">
        <v>34</v>
      </c>
      <c r="B50" s="32">
        <v>2028</v>
      </c>
      <c r="C50" s="68">
        <v>3650</v>
      </c>
      <c r="D50" s="68">
        <v>1442.873</v>
      </c>
      <c r="E50" s="68">
        <v>677.59100000000001</v>
      </c>
      <c r="F50" s="63">
        <f t="shared" si="2"/>
        <v>2884.7179614420493</v>
      </c>
      <c r="G50" s="63">
        <f t="shared" ref="G50:G81" si="3">G49+F50</f>
        <v>3428.6523271910464</v>
      </c>
    </row>
    <row r="51" spans="1:7" x14ac:dyDescent="0.25">
      <c r="A51" s="32">
        <v>35</v>
      </c>
      <c r="B51" s="32">
        <v>2028</v>
      </c>
      <c r="C51" s="68">
        <v>0</v>
      </c>
      <c r="D51" s="68">
        <v>1442.873</v>
      </c>
      <c r="E51" s="68">
        <v>-95.022999999999996</v>
      </c>
      <c r="F51" s="63">
        <f t="shared" si="2"/>
        <v>-1537.8960385579505</v>
      </c>
      <c r="G51" s="63">
        <f t="shared" si="3"/>
        <v>1890.7562886330959</v>
      </c>
    </row>
    <row r="52" spans="1:7" x14ac:dyDescent="0.25">
      <c r="A52" s="32">
        <v>36</v>
      </c>
      <c r="B52" s="32">
        <v>2029</v>
      </c>
      <c r="C52" s="68">
        <v>3650</v>
      </c>
      <c r="D52" s="68">
        <v>1755.1369999999999</v>
      </c>
      <c r="E52" s="68">
        <v>677.27200000000005</v>
      </c>
      <c r="F52" s="63">
        <f t="shared" si="2"/>
        <v>2572.1349530974067</v>
      </c>
      <c r="G52" s="63">
        <f t="shared" si="3"/>
        <v>4462.8912417305028</v>
      </c>
    </row>
    <row r="53" spans="1:7" x14ac:dyDescent="0.25">
      <c r="A53" s="32">
        <v>37</v>
      </c>
      <c r="B53" s="32">
        <v>2029</v>
      </c>
      <c r="C53" s="68">
        <v>0</v>
      </c>
      <c r="D53" s="68">
        <v>1755.1369999999999</v>
      </c>
      <c r="E53" s="68">
        <v>-95.341999999999999</v>
      </c>
      <c r="F53" s="63">
        <f t="shared" si="2"/>
        <v>-1850.4790469025936</v>
      </c>
      <c r="G53" s="63">
        <f t="shared" si="3"/>
        <v>2612.4121948279089</v>
      </c>
    </row>
    <row r="54" spans="1:7" x14ac:dyDescent="0.25">
      <c r="A54" s="32">
        <v>38</v>
      </c>
      <c r="B54" s="32">
        <v>2029</v>
      </c>
      <c r="C54" s="68">
        <v>3650</v>
      </c>
      <c r="D54" s="68">
        <v>1755.1369999999999</v>
      </c>
      <c r="E54" s="68">
        <v>677.27200000000005</v>
      </c>
      <c r="F54" s="63">
        <f t="shared" si="2"/>
        <v>2572.1349530974067</v>
      </c>
      <c r="G54" s="63">
        <f t="shared" si="3"/>
        <v>5184.5471479253156</v>
      </c>
    </row>
    <row r="55" spans="1:7" x14ac:dyDescent="0.25">
      <c r="A55" s="32">
        <v>39</v>
      </c>
      <c r="B55" s="32">
        <v>2029</v>
      </c>
      <c r="C55" s="68">
        <v>0</v>
      </c>
      <c r="D55" s="68">
        <v>1755.1369999999999</v>
      </c>
      <c r="E55" s="68">
        <v>-95.341999999999999</v>
      </c>
      <c r="F55" s="63">
        <f t="shared" si="2"/>
        <v>-1850.4790469025936</v>
      </c>
      <c r="G55" s="63">
        <f t="shared" si="3"/>
        <v>3334.0681010227217</v>
      </c>
    </row>
    <row r="56" spans="1:7" x14ac:dyDescent="0.25">
      <c r="A56" s="32">
        <v>40</v>
      </c>
      <c r="B56" s="32">
        <v>2029</v>
      </c>
      <c r="C56" s="68">
        <v>3650</v>
      </c>
      <c r="D56" s="68">
        <v>1755.1369999999999</v>
      </c>
      <c r="E56" s="68">
        <v>677.27200000000005</v>
      </c>
      <c r="F56" s="63">
        <f t="shared" si="2"/>
        <v>2572.1349530974067</v>
      </c>
      <c r="G56" s="63">
        <f t="shared" si="3"/>
        <v>5906.2030541201284</v>
      </c>
    </row>
    <row r="57" spans="1:7" x14ac:dyDescent="0.25">
      <c r="A57" s="32">
        <v>41</v>
      </c>
      <c r="B57" s="32">
        <v>2029</v>
      </c>
      <c r="C57" s="68">
        <v>0</v>
      </c>
      <c r="D57" s="68">
        <v>1755.1369999999999</v>
      </c>
      <c r="E57" s="68">
        <v>-95.341999999999999</v>
      </c>
      <c r="F57" s="63">
        <f t="shared" si="2"/>
        <v>-1850.4790469025936</v>
      </c>
      <c r="G57" s="63">
        <f t="shared" si="3"/>
        <v>4055.7240072175346</v>
      </c>
    </row>
    <row r="58" spans="1:7" x14ac:dyDescent="0.25">
      <c r="A58" s="32">
        <v>42</v>
      </c>
      <c r="B58" s="32">
        <v>2029</v>
      </c>
      <c r="C58" s="68">
        <v>8270</v>
      </c>
      <c r="D58" s="68">
        <v>1755.1369999999999</v>
      </c>
      <c r="E58" s="68">
        <v>1449.886</v>
      </c>
      <c r="F58" s="63">
        <f t="shared" si="2"/>
        <v>7964.7489530974071</v>
      </c>
      <c r="G58" s="63">
        <f t="shared" si="3"/>
        <v>12020.472960314943</v>
      </c>
    </row>
    <row r="59" spans="1:7" x14ac:dyDescent="0.25">
      <c r="A59" s="32">
        <v>43</v>
      </c>
      <c r="B59" s="32">
        <v>2029</v>
      </c>
      <c r="C59" s="68">
        <v>0</v>
      </c>
      <c r="D59" s="68">
        <v>1755.1369999999999</v>
      </c>
      <c r="E59" s="68">
        <v>-95.341999999999999</v>
      </c>
      <c r="F59" s="63">
        <f t="shared" si="2"/>
        <v>-1850.4790469025936</v>
      </c>
      <c r="G59" s="63">
        <f t="shared" si="3"/>
        <v>10169.993913412349</v>
      </c>
    </row>
    <row r="60" spans="1:7" x14ac:dyDescent="0.25">
      <c r="A60" s="32">
        <v>44</v>
      </c>
      <c r="B60" s="32">
        <v>2029</v>
      </c>
      <c r="C60" s="68">
        <v>4135</v>
      </c>
      <c r="D60" s="68">
        <v>1755.1369999999999</v>
      </c>
      <c r="E60" s="68">
        <v>677.27200000000005</v>
      </c>
      <c r="F60" s="63">
        <f t="shared" si="2"/>
        <v>3057.1349530974067</v>
      </c>
      <c r="G60" s="63">
        <f t="shared" si="3"/>
        <v>13227.128866509756</v>
      </c>
    </row>
    <row r="61" spans="1:7" x14ac:dyDescent="0.25">
      <c r="A61" s="32">
        <v>45</v>
      </c>
      <c r="B61" s="32">
        <v>2029</v>
      </c>
      <c r="C61" s="68">
        <v>4135</v>
      </c>
      <c r="D61" s="68">
        <v>1755.1369999999999</v>
      </c>
      <c r="E61" s="68">
        <v>-512.68700000000001</v>
      </c>
      <c r="F61" s="63">
        <f t="shared" si="2"/>
        <v>1867.1759530974068</v>
      </c>
      <c r="G61" s="63">
        <f t="shared" si="3"/>
        <v>15094.304819607163</v>
      </c>
    </row>
    <row r="62" spans="1:7" x14ac:dyDescent="0.25">
      <c r="A62" s="32">
        <v>46</v>
      </c>
      <c r="B62" s="32">
        <v>2029</v>
      </c>
      <c r="C62" s="68">
        <v>0</v>
      </c>
      <c r="D62" s="68">
        <v>1755.1369999999999</v>
      </c>
      <c r="E62" s="68">
        <v>-1285.3009999999999</v>
      </c>
      <c r="F62" s="63">
        <f t="shared" si="2"/>
        <v>-3040.4380469025937</v>
      </c>
      <c r="G62" s="63">
        <f t="shared" si="3"/>
        <v>12053.866772704569</v>
      </c>
    </row>
    <row r="63" spans="1:7" x14ac:dyDescent="0.25">
      <c r="A63" s="32">
        <v>47</v>
      </c>
      <c r="B63" s="32">
        <v>2029</v>
      </c>
      <c r="C63" s="68">
        <v>0</v>
      </c>
      <c r="D63" s="68">
        <v>1755.1369999999999</v>
      </c>
      <c r="E63" s="68">
        <v>-1285.3009999999999</v>
      </c>
      <c r="F63" s="63">
        <f t="shared" si="2"/>
        <v>-3040.4380469025937</v>
      </c>
      <c r="G63" s="63">
        <f t="shared" si="3"/>
        <v>9013.4287258019758</v>
      </c>
    </row>
    <row r="64" spans="1:7" x14ac:dyDescent="0.25">
      <c r="A64" s="32">
        <v>48</v>
      </c>
      <c r="B64" s="32">
        <v>2030</v>
      </c>
      <c r="C64" s="68">
        <v>4135</v>
      </c>
      <c r="D64" s="68">
        <v>970.82299999999998</v>
      </c>
      <c r="E64" s="68">
        <v>-500.589</v>
      </c>
      <c r="F64" s="63">
        <f t="shared" si="2"/>
        <v>2663.5879740566597</v>
      </c>
      <c r="G64" s="63">
        <f t="shared" si="3"/>
        <v>11677.016699858636</v>
      </c>
    </row>
    <row r="65" spans="1:7" x14ac:dyDescent="0.25">
      <c r="A65" s="32">
        <v>49</v>
      </c>
      <c r="B65" s="32">
        <v>2030</v>
      </c>
      <c r="C65" s="68">
        <v>4135</v>
      </c>
      <c r="D65" s="68">
        <v>970.82299999999998</v>
      </c>
      <c r="E65" s="68">
        <v>-500.589</v>
      </c>
      <c r="F65" s="63">
        <f t="shared" si="2"/>
        <v>2663.5879740566597</v>
      </c>
      <c r="G65" s="63">
        <f t="shared" si="3"/>
        <v>14340.604673915295</v>
      </c>
    </row>
    <row r="66" spans="1:7" x14ac:dyDescent="0.25">
      <c r="A66" s="32">
        <v>50</v>
      </c>
      <c r="B66" s="32">
        <v>2030</v>
      </c>
      <c r="C66" s="68">
        <v>4135</v>
      </c>
      <c r="D66" s="68">
        <v>970.82299999999998</v>
      </c>
      <c r="E66" s="68">
        <v>-500.589</v>
      </c>
      <c r="F66" s="63">
        <f t="shared" si="2"/>
        <v>2663.5879740566597</v>
      </c>
      <c r="G66" s="63">
        <f t="shared" si="3"/>
        <v>17004.192647971955</v>
      </c>
    </row>
    <row r="67" spans="1:7" x14ac:dyDescent="0.25">
      <c r="A67" s="32">
        <v>51</v>
      </c>
      <c r="B67" s="32">
        <v>2030</v>
      </c>
      <c r="C67" s="68">
        <v>0</v>
      </c>
      <c r="D67" s="68">
        <v>970.82299999999998</v>
      </c>
      <c r="E67" s="68">
        <v>-1273.203</v>
      </c>
      <c r="F67" s="63">
        <f t="shared" si="2"/>
        <v>-2244.0260259433403</v>
      </c>
      <c r="G67" s="63">
        <f t="shared" si="3"/>
        <v>14760.166622028615</v>
      </c>
    </row>
    <row r="68" spans="1:7" x14ac:dyDescent="0.25">
      <c r="A68" s="32">
        <v>52</v>
      </c>
      <c r="B68" s="32">
        <v>2030</v>
      </c>
      <c r="C68" s="68">
        <v>4135</v>
      </c>
      <c r="D68" s="68">
        <v>970.82299999999998</v>
      </c>
      <c r="E68" s="68">
        <v>-500.589</v>
      </c>
      <c r="F68" s="63">
        <f t="shared" si="2"/>
        <v>2663.5879740566597</v>
      </c>
      <c r="G68" s="63">
        <f t="shared" si="3"/>
        <v>17423.754596085273</v>
      </c>
    </row>
    <row r="69" spans="1:7" x14ac:dyDescent="0.25">
      <c r="A69" s="32">
        <v>53</v>
      </c>
      <c r="B69" s="32">
        <v>2030</v>
      </c>
      <c r="C69" s="68">
        <v>4135</v>
      </c>
      <c r="D69" s="68">
        <v>970.82299999999998</v>
      </c>
      <c r="E69" s="68">
        <v>-500.589</v>
      </c>
      <c r="F69" s="63">
        <f t="shared" si="2"/>
        <v>2663.5879740566597</v>
      </c>
      <c r="G69" s="63">
        <f t="shared" si="3"/>
        <v>20087.342570141933</v>
      </c>
    </row>
    <row r="70" spans="1:7" x14ac:dyDescent="0.25">
      <c r="A70" s="32">
        <v>54</v>
      </c>
      <c r="B70" s="32">
        <v>2030</v>
      </c>
      <c r="C70" s="68">
        <v>4135</v>
      </c>
      <c r="D70" s="68">
        <v>970.82299999999998</v>
      </c>
      <c r="E70" s="68">
        <v>-500.589</v>
      </c>
      <c r="F70" s="63">
        <f t="shared" si="2"/>
        <v>2663.5879740566597</v>
      </c>
      <c r="G70" s="63">
        <f t="shared" si="3"/>
        <v>22750.930544198593</v>
      </c>
    </row>
    <row r="71" spans="1:7" x14ac:dyDescent="0.25">
      <c r="A71" s="32">
        <v>55</v>
      </c>
      <c r="B71" s="32">
        <v>2030</v>
      </c>
      <c r="C71" s="68">
        <v>4135</v>
      </c>
      <c r="D71" s="68">
        <v>970.82299999999998</v>
      </c>
      <c r="E71" s="68">
        <v>-500.589</v>
      </c>
      <c r="F71" s="63">
        <f t="shared" si="2"/>
        <v>2663.5879740566597</v>
      </c>
      <c r="G71" s="63">
        <f t="shared" si="3"/>
        <v>25414.518518255252</v>
      </c>
    </row>
    <row r="72" spans="1:7" x14ac:dyDescent="0.25">
      <c r="A72" s="32">
        <v>56</v>
      </c>
      <c r="B72" s="32">
        <v>2030</v>
      </c>
      <c r="C72" s="68">
        <v>4135</v>
      </c>
      <c r="D72" s="68">
        <v>970.82299999999998</v>
      </c>
      <c r="E72" s="68">
        <v>-500.589</v>
      </c>
      <c r="F72" s="63">
        <f t="shared" si="2"/>
        <v>2663.5879740566597</v>
      </c>
      <c r="G72" s="63">
        <f t="shared" si="3"/>
        <v>28078.106492311912</v>
      </c>
    </row>
    <row r="73" spans="1:7" x14ac:dyDescent="0.25">
      <c r="A73" s="32">
        <v>57</v>
      </c>
      <c r="B73" s="32">
        <v>2030</v>
      </c>
      <c r="C73" s="68">
        <v>4620</v>
      </c>
      <c r="D73" s="68">
        <v>970.82299999999998</v>
      </c>
      <c r="E73" s="68">
        <v>-500.589</v>
      </c>
      <c r="F73" s="63">
        <f t="shared" si="2"/>
        <v>3148.5879740566597</v>
      </c>
      <c r="G73" s="63">
        <f t="shared" si="3"/>
        <v>31226.694466368572</v>
      </c>
    </row>
    <row r="74" spans="1:7" x14ac:dyDescent="0.25">
      <c r="A74" s="32">
        <v>58</v>
      </c>
      <c r="B74" s="32">
        <v>2030</v>
      </c>
      <c r="C74" s="68">
        <v>0</v>
      </c>
      <c r="D74" s="68">
        <v>970.82299999999998</v>
      </c>
      <c r="E74" s="68">
        <v>-1273.203</v>
      </c>
      <c r="F74" s="63">
        <f t="shared" si="2"/>
        <v>-2244.0260259433403</v>
      </c>
      <c r="G74" s="63">
        <f t="shared" si="3"/>
        <v>28982.66844042523</v>
      </c>
    </row>
    <row r="75" spans="1:7" x14ac:dyDescent="0.25">
      <c r="A75" s="32">
        <v>59</v>
      </c>
      <c r="B75" s="32">
        <v>2030</v>
      </c>
      <c r="C75" s="68">
        <v>0</v>
      </c>
      <c r="D75" s="68">
        <v>970.82299999999998</v>
      </c>
      <c r="E75" s="68">
        <v>-1273.203</v>
      </c>
      <c r="F75" s="63">
        <f t="shared" si="2"/>
        <v>-2244.0260259433403</v>
      </c>
      <c r="G75" s="63">
        <f t="shared" si="3"/>
        <v>26738.642414481888</v>
      </c>
    </row>
    <row r="76" spans="1:7" x14ac:dyDescent="0.25">
      <c r="A76" s="32">
        <v>60</v>
      </c>
      <c r="B76" s="32">
        <v>2031</v>
      </c>
      <c r="C76" s="68">
        <v>0</v>
      </c>
      <c r="D76" s="68">
        <v>633.66200000000003</v>
      </c>
      <c r="E76" s="68">
        <v>-1263.6869999999999</v>
      </c>
      <c r="F76" s="63">
        <f t="shared" si="2"/>
        <v>-1897.3490169333741</v>
      </c>
      <c r="G76" s="63">
        <f t="shared" si="3"/>
        <v>24841.293397548514</v>
      </c>
    </row>
    <row r="77" spans="1:7" x14ac:dyDescent="0.25">
      <c r="A77" s="32">
        <v>61</v>
      </c>
      <c r="B77" s="32">
        <v>2031</v>
      </c>
      <c r="C77" s="68">
        <v>4620</v>
      </c>
      <c r="D77" s="68">
        <v>633.66200000000003</v>
      </c>
      <c r="E77" s="68">
        <v>-491.07299999999998</v>
      </c>
      <c r="F77" s="63">
        <f t="shared" si="2"/>
        <v>3495.264983066626</v>
      </c>
      <c r="G77" s="63">
        <f t="shared" si="3"/>
        <v>28336.558380615141</v>
      </c>
    </row>
    <row r="78" spans="1:7" x14ac:dyDescent="0.25">
      <c r="A78" s="32">
        <v>62</v>
      </c>
      <c r="B78" s="32">
        <v>2031</v>
      </c>
      <c r="C78" s="68">
        <v>0</v>
      </c>
      <c r="D78" s="68">
        <v>633.66200000000003</v>
      </c>
      <c r="E78" s="68">
        <v>-1263.6869999999999</v>
      </c>
      <c r="F78" s="63">
        <f t="shared" si="2"/>
        <v>-1897.3490169333741</v>
      </c>
      <c r="G78" s="63">
        <f t="shared" si="3"/>
        <v>26439.209363681766</v>
      </c>
    </row>
    <row r="79" spans="1:7" x14ac:dyDescent="0.25">
      <c r="A79" s="32">
        <v>63</v>
      </c>
      <c r="B79" s="32">
        <v>2031</v>
      </c>
      <c r="C79" s="68">
        <v>4620</v>
      </c>
      <c r="D79" s="68">
        <v>633.66200000000003</v>
      </c>
      <c r="E79" s="68">
        <v>-491.07299999999998</v>
      </c>
      <c r="F79" s="63">
        <f t="shared" si="2"/>
        <v>3495.264983066626</v>
      </c>
      <c r="G79" s="63">
        <f t="shared" si="3"/>
        <v>29934.474346748393</v>
      </c>
    </row>
    <row r="80" spans="1:7" x14ac:dyDescent="0.25">
      <c r="A80" s="32">
        <v>64</v>
      </c>
      <c r="B80" s="32">
        <v>2031</v>
      </c>
      <c r="C80" s="68">
        <v>0</v>
      </c>
      <c r="D80" s="68">
        <v>633.66200000000003</v>
      </c>
      <c r="E80" s="68">
        <v>-1263.6869999999999</v>
      </c>
      <c r="F80" s="63">
        <f t="shared" si="2"/>
        <v>-1897.3490169333741</v>
      </c>
      <c r="G80" s="63">
        <f t="shared" si="3"/>
        <v>28037.125329815019</v>
      </c>
    </row>
    <row r="81" spans="1:7" x14ac:dyDescent="0.25">
      <c r="A81" s="32">
        <v>65</v>
      </c>
      <c r="B81" s="32">
        <v>2031</v>
      </c>
      <c r="C81" s="68">
        <v>4620</v>
      </c>
      <c r="D81" s="68">
        <v>633.66200000000003</v>
      </c>
      <c r="E81" s="68">
        <v>-491.07299999999998</v>
      </c>
      <c r="F81" s="63">
        <f t="shared" ref="F81:F100" si="4">C81*$B$9-D81*$B$10+E81</f>
        <v>3495.264983066626</v>
      </c>
      <c r="G81" s="63">
        <f t="shared" si="3"/>
        <v>31532.390312881646</v>
      </c>
    </row>
    <row r="82" spans="1:7" x14ac:dyDescent="0.25">
      <c r="A82" s="32">
        <v>66</v>
      </c>
      <c r="B82" s="32">
        <v>2031</v>
      </c>
      <c r="C82" s="68">
        <v>0</v>
      </c>
      <c r="D82" s="68">
        <v>633.66200000000003</v>
      </c>
      <c r="E82" s="68">
        <v>-1263.6869999999999</v>
      </c>
      <c r="F82" s="63">
        <f t="shared" si="4"/>
        <v>-1897.3490169333741</v>
      </c>
      <c r="G82" s="63">
        <f t="shared" ref="G82:G100" si="5">G81+F82</f>
        <v>29635.041295948271</v>
      </c>
    </row>
    <row r="83" spans="1:7" x14ac:dyDescent="0.25">
      <c r="A83" s="32">
        <v>67</v>
      </c>
      <c r="B83" s="32">
        <v>2031</v>
      </c>
      <c r="C83" s="68">
        <v>4620</v>
      </c>
      <c r="D83" s="68">
        <v>633.66200000000003</v>
      </c>
      <c r="E83" s="68">
        <v>-491.07299999999998</v>
      </c>
      <c r="F83" s="63">
        <f t="shared" si="4"/>
        <v>3495.264983066626</v>
      </c>
      <c r="G83" s="63">
        <f t="shared" si="5"/>
        <v>33130.306279014898</v>
      </c>
    </row>
    <row r="84" spans="1:7" x14ac:dyDescent="0.25">
      <c r="A84" s="32">
        <v>68</v>
      </c>
      <c r="B84" s="32">
        <v>2031</v>
      </c>
      <c r="C84" s="68">
        <v>0</v>
      </c>
      <c r="D84" s="68">
        <v>633.66200000000003</v>
      </c>
      <c r="E84" s="68">
        <v>-1263.6869999999999</v>
      </c>
      <c r="F84" s="63">
        <f t="shared" si="4"/>
        <v>-1897.3490169333741</v>
      </c>
      <c r="G84" s="63">
        <f t="shared" si="5"/>
        <v>31232.957262081523</v>
      </c>
    </row>
    <row r="85" spans="1:7" x14ac:dyDescent="0.25">
      <c r="A85" s="32">
        <v>69</v>
      </c>
      <c r="B85" s="32">
        <v>2031</v>
      </c>
      <c r="C85" s="68">
        <v>0</v>
      </c>
      <c r="D85" s="68">
        <v>633.66200000000003</v>
      </c>
      <c r="E85" s="68">
        <v>-73.728999999999999</v>
      </c>
      <c r="F85" s="63">
        <f t="shared" si="4"/>
        <v>-707.39101693337409</v>
      </c>
      <c r="G85" s="63">
        <f t="shared" si="5"/>
        <v>30525.566245148148</v>
      </c>
    </row>
    <row r="86" spans="1:7" x14ac:dyDescent="0.25">
      <c r="A86" s="32">
        <v>70</v>
      </c>
      <c r="B86" s="32">
        <v>2031</v>
      </c>
      <c r="C86" s="68">
        <v>0</v>
      </c>
      <c r="D86" s="68">
        <v>633.66200000000003</v>
      </c>
      <c r="E86" s="68">
        <v>-73.728999999999999</v>
      </c>
      <c r="F86" s="63">
        <f t="shared" si="4"/>
        <v>-707.39101693337409</v>
      </c>
      <c r="G86" s="63">
        <f t="shared" si="5"/>
        <v>29818.175228214772</v>
      </c>
    </row>
    <row r="87" spans="1:7" x14ac:dyDescent="0.25">
      <c r="A87" s="32">
        <v>71</v>
      </c>
      <c r="B87" s="32">
        <v>2031</v>
      </c>
      <c r="C87" s="68">
        <v>0</v>
      </c>
      <c r="D87" s="68">
        <v>633.66200000000003</v>
      </c>
      <c r="E87" s="68">
        <v>-20450.429</v>
      </c>
      <c r="F87" s="63">
        <f t="shared" si="4"/>
        <v>-21084.091016933373</v>
      </c>
      <c r="G87" s="63">
        <f t="shared" si="5"/>
        <v>8734.0842112813989</v>
      </c>
    </row>
    <row r="88" spans="1:7" x14ac:dyDescent="0.25">
      <c r="A88" s="32">
        <v>72</v>
      </c>
      <c r="B88" s="32">
        <v>2032</v>
      </c>
      <c r="C88" s="68">
        <v>0</v>
      </c>
      <c r="D88" s="68">
        <v>39.101999999999997</v>
      </c>
      <c r="E88" s="68">
        <v>80.09</v>
      </c>
      <c r="F88" s="63">
        <f t="shared" si="4"/>
        <v>40.98799895507576</v>
      </c>
      <c r="G88" s="63">
        <f t="shared" si="5"/>
        <v>8775.0722102364743</v>
      </c>
    </row>
    <row r="89" spans="1:7" x14ac:dyDescent="0.25">
      <c r="A89" s="32">
        <v>73</v>
      </c>
      <c r="B89" s="32">
        <v>2032</v>
      </c>
      <c r="C89" s="68">
        <v>0</v>
      </c>
      <c r="D89" s="68">
        <v>39.101999999999997</v>
      </c>
      <c r="E89" s="68">
        <v>80.09</v>
      </c>
      <c r="F89" s="63">
        <f t="shared" si="4"/>
        <v>40.98799895507576</v>
      </c>
      <c r="G89" s="63">
        <f t="shared" si="5"/>
        <v>8816.0602091915498</v>
      </c>
    </row>
    <row r="90" spans="1:7" x14ac:dyDescent="0.25">
      <c r="A90" s="32">
        <v>74</v>
      </c>
      <c r="B90" s="32">
        <v>2032</v>
      </c>
      <c r="C90" s="68">
        <v>0</v>
      </c>
      <c r="D90" s="68">
        <v>39.101999999999997</v>
      </c>
      <c r="E90" s="68">
        <v>80.09</v>
      </c>
      <c r="F90" s="63">
        <f t="shared" si="4"/>
        <v>40.98799895507576</v>
      </c>
      <c r="G90" s="63">
        <f t="shared" si="5"/>
        <v>8857.0482081466253</v>
      </c>
    </row>
    <row r="91" spans="1:7" x14ac:dyDescent="0.25">
      <c r="A91" s="32">
        <v>75</v>
      </c>
      <c r="B91" s="32">
        <v>2032</v>
      </c>
      <c r="C91" s="68">
        <v>0</v>
      </c>
      <c r="D91" s="68">
        <v>39.101999999999997</v>
      </c>
      <c r="E91" s="68">
        <v>80.09</v>
      </c>
      <c r="F91" s="63">
        <f t="shared" si="4"/>
        <v>40.98799895507576</v>
      </c>
      <c r="G91" s="63">
        <f t="shared" si="5"/>
        <v>8898.0362071017007</v>
      </c>
    </row>
    <row r="92" spans="1:7" x14ac:dyDescent="0.25">
      <c r="A92" s="32">
        <v>76</v>
      </c>
      <c r="B92" s="32">
        <v>2032</v>
      </c>
      <c r="C92" s="68">
        <v>0</v>
      </c>
      <c r="D92" s="68">
        <v>39.101999999999997</v>
      </c>
      <c r="E92" s="68">
        <v>80.09</v>
      </c>
      <c r="F92" s="63">
        <f t="shared" si="4"/>
        <v>40.98799895507576</v>
      </c>
      <c r="G92" s="63">
        <f t="shared" si="5"/>
        <v>8939.0242060567762</v>
      </c>
    </row>
    <row r="93" spans="1:7" x14ac:dyDescent="0.25">
      <c r="A93" s="32">
        <v>77</v>
      </c>
      <c r="B93" s="32">
        <v>2032</v>
      </c>
      <c r="C93" s="68">
        <v>0</v>
      </c>
      <c r="D93" s="68">
        <v>39.101999999999997</v>
      </c>
      <c r="E93" s="68">
        <v>80.09</v>
      </c>
      <c r="F93" s="63">
        <f t="shared" si="4"/>
        <v>40.98799895507576</v>
      </c>
      <c r="G93" s="63">
        <f t="shared" si="5"/>
        <v>8980.0122050118516</v>
      </c>
    </row>
    <row r="94" spans="1:7" x14ac:dyDescent="0.25">
      <c r="A94" s="32">
        <v>78</v>
      </c>
      <c r="B94" s="32">
        <v>2032</v>
      </c>
      <c r="C94" s="68">
        <v>0</v>
      </c>
      <c r="D94" s="68">
        <v>39.101999999999997</v>
      </c>
      <c r="E94" s="68">
        <v>80.09</v>
      </c>
      <c r="F94" s="63">
        <f t="shared" si="4"/>
        <v>40.98799895507576</v>
      </c>
      <c r="G94" s="63">
        <f t="shared" si="5"/>
        <v>9021.0002039669271</v>
      </c>
    </row>
    <row r="95" spans="1:7" x14ac:dyDescent="0.25">
      <c r="A95" s="32">
        <v>79</v>
      </c>
      <c r="B95" s="32">
        <v>2032</v>
      </c>
      <c r="C95" s="68">
        <v>0</v>
      </c>
      <c r="D95" s="68">
        <v>39.101999999999997</v>
      </c>
      <c r="E95" s="68">
        <v>80.09</v>
      </c>
      <c r="F95" s="63">
        <f t="shared" si="4"/>
        <v>40.98799895507576</v>
      </c>
      <c r="G95" s="63">
        <f t="shared" si="5"/>
        <v>9061.9882029220025</v>
      </c>
    </row>
    <row r="96" spans="1:7" x14ac:dyDescent="0.25">
      <c r="A96" s="32">
        <v>80</v>
      </c>
      <c r="B96" s="32">
        <v>2032</v>
      </c>
      <c r="C96" s="68">
        <v>0</v>
      </c>
      <c r="D96" s="68">
        <v>39.101999999999997</v>
      </c>
      <c r="E96" s="68">
        <v>80.09</v>
      </c>
      <c r="F96" s="63">
        <f t="shared" si="4"/>
        <v>40.98799895507576</v>
      </c>
      <c r="G96" s="63">
        <f t="shared" si="5"/>
        <v>9102.976201877078</v>
      </c>
    </row>
    <row r="97" spans="1:7" x14ac:dyDescent="0.25">
      <c r="A97" s="32">
        <v>81</v>
      </c>
      <c r="B97" s="32">
        <v>2032</v>
      </c>
      <c r="C97" s="68">
        <v>0</v>
      </c>
      <c r="D97" s="68">
        <v>39.101999999999997</v>
      </c>
      <c r="E97" s="68">
        <v>80.09</v>
      </c>
      <c r="F97" s="63">
        <f t="shared" si="4"/>
        <v>40.98799895507576</v>
      </c>
      <c r="G97" s="63">
        <f t="shared" si="5"/>
        <v>9143.9642008321534</v>
      </c>
    </row>
    <row r="98" spans="1:7" x14ac:dyDescent="0.25">
      <c r="A98" s="32">
        <v>82</v>
      </c>
      <c r="B98" s="32">
        <v>2032</v>
      </c>
      <c r="C98" s="68">
        <v>0</v>
      </c>
      <c r="D98" s="68">
        <v>39.101999999999997</v>
      </c>
      <c r="E98" s="68">
        <v>80.09</v>
      </c>
      <c r="F98" s="63">
        <f t="shared" si="4"/>
        <v>40.98799895507576</v>
      </c>
      <c r="G98" s="63">
        <f t="shared" si="5"/>
        <v>9184.9521997872289</v>
      </c>
    </row>
    <row r="99" spans="1:7" x14ac:dyDescent="0.25">
      <c r="A99" s="32">
        <v>83</v>
      </c>
      <c r="B99" s="32">
        <v>2032</v>
      </c>
      <c r="C99" s="68">
        <v>0</v>
      </c>
      <c r="D99" s="68">
        <v>39.101999999999997</v>
      </c>
      <c r="E99" s="68">
        <v>80.09</v>
      </c>
      <c r="F99" s="63">
        <f t="shared" si="4"/>
        <v>40.98799895507576</v>
      </c>
      <c r="G99" s="63">
        <f t="shared" si="5"/>
        <v>9225.9401987423043</v>
      </c>
    </row>
    <row r="100" spans="1:7" x14ac:dyDescent="0.25">
      <c r="A100" s="32">
        <v>84</v>
      </c>
      <c r="B100" s="32">
        <v>2032</v>
      </c>
      <c r="C100" s="68">
        <v>0</v>
      </c>
      <c r="D100" s="68">
        <v>39.101999999999997</v>
      </c>
      <c r="E100" s="68">
        <v>80.09</v>
      </c>
      <c r="F100" s="63">
        <f t="shared" si="4"/>
        <v>40.98799895507576</v>
      </c>
      <c r="G100" s="63">
        <f t="shared" si="5"/>
        <v>9266.9281976973798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ECBF-643A-4436-9802-B8589FD0EDE3}">
  <dimension ref="A1:G21"/>
  <sheetViews>
    <sheetView workbookViewId="0"/>
  </sheetViews>
  <sheetFormatPr defaultRowHeight="15" x14ac:dyDescent="0.25"/>
  <cols>
    <col min="1" max="1" width="32.7109375" customWidth="1"/>
    <col min="2" max="3" width="13.7109375" customWidth="1"/>
    <col min="4" max="5" width="12.7109375" customWidth="1"/>
    <col min="6" max="6" width="22.7109375" customWidth="1"/>
    <col min="7" max="7" width="46.7109375" customWidth="1"/>
  </cols>
  <sheetData>
    <row r="1" spans="1:7" ht="17.25" x14ac:dyDescent="0.3">
      <c r="A1" s="4" t="s">
        <v>401</v>
      </c>
      <c r="B1" s="1"/>
      <c r="C1" s="1"/>
      <c r="D1" s="1"/>
      <c r="E1" s="1"/>
      <c r="F1" s="1"/>
      <c r="G1" s="1"/>
    </row>
    <row r="2" spans="1:7" x14ac:dyDescent="0.25">
      <c r="A2" s="5" t="s">
        <v>402</v>
      </c>
      <c r="B2" s="1"/>
      <c r="C2" s="1"/>
      <c r="D2" s="1"/>
      <c r="E2" s="1"/>
      <c r="F2" s="1"/>
      <c r="G2" s="1"/>
    </row>
    <row r="3" spans="1:7" x14ac:dyDescent="0.25">
      <c r="A3" s="3" t="s">
        <v>137</v>
      </c>
      <c r="B3" s="3" t="str">
        <f>Inputs!B3</f>
        <v>Base</v>
      </c>
      <c r="C3" s="1"/>
      <c r="D3" s="5" t="s">
        <v>403</v>
      </c>
      <c r="E3" s="1"/>
      <c r="F3" s="1"/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spans="1:7" s="6" customFormat="1" x14ac:dyDescent="0.25">
      <c r="A5" s="8" t="s">
        <v>404</v>
      </c>
      <c r="B5" s="8"/>
      <c r="C5" s="8"/>
      <c r="D5" s="8"/>
      <c r="E5" s="8"/>
      <c r="F5" s="8"/>
      <c r="G5" s="8"/>
    </row>
    <row r="6" spans="1:7" ht="110.1" customHeight="1" x14ac:dyDescent="0.25">
      <c r="A6" s="69" t="s">
        <v>405</v>
      </c>
      <c r="B6" s="69"/>
      <c r="C6" s="69"/>
      <c r="D6" s="69"/>
      <c r="E6" s="69"/>
      <c r="F6" s="69"/>
      <c r="G6" s="69"/>
    </row>
    <row r="7" spans="1:7" x14ac:dyDescent="0.25">
      <c r="A7" s="1"/>
      <c r="B7" s="1"/>
      <c r="C7" s="1"/>
      <c r="D7" s="1"/>
      <c r="E7" s="1"/>
      <c r="F7" s="1"/>
      <c r="G7" s="1"/>
    </row>
    <row r="8" spans="1:7" s="6" customFormat="1" x14ac:dyDescent="0.25">
      <c r="A8" s="8" t="s">
        <v>406</v>
      </c>
      <c r="B8" s="8"/>
      <c r="C8" s="8"/>
      <c r="D8" s="8"/>
      <c r="E8" s="8"/>
      <c r="F8" s="8"/>
      <c r="G8" s="8"/>
    </row>
    <row r="9" spans="1:7" s="6" customFormat="1" x14ac:dyDescent="0.25">
      <c r="A9" s="52" t="s">
        <v>407</v>
      </c>
      <c r="B9" s="52" t="s">
        <v>408</v>
      </c>
      <c r="C9" s="52" t="s">
        <v>409</v>
      </c>
      <c r="D9" s="52" t="s">
        <v>179</v>
      </c>
      <c r="E9" s="52" t="s">
        <v>410</v>
      </c>
      <c r="F9" s="52" t="s">
        <v>411</v>
      </c>
      <c r="G9" s="52" t="s">
        <v>180</v>
      </c>
    </row>
    <row r="10" spans="1:7" x14ac:dyDescent="0.25">
      <c r="A10" s="53" t="s">
        <v>412</v>
      </c>
      <c r="B10" s="54">
        <f>Revenue!C29</f>
        <v>146000</v>
      </c>
      <c r="C10" s="55">
        <v>146000</v>
      </c>
      <c r="D10" s="55">
        <f t="shared" ref="D10:D15" si="0">B10-C10</f>
        <v>0</v>
      </c>
      <c r="E10" s="56" t="s">
        <v>413</v>
      </c>
      <c r="F10" s="56" t="s">
        <v>414</v>
      </c>
      <c r="G10" s="56" t="s">
        <v>415</v>
      </c>
    </row>
    <row r="11" spans="1:7" x14ac:dyDescent="0.25">
      <c r="A11" s="53" t="s">
        <v>416</v>
      </c>
      <c r="B11" s="57">
        <f>'Cash Flow'!B59</f>
        <v>0.16247286200523378</v>
      </c>
      <c r="C11" s="58">
        <v>0.16200000000000001</v>
      </c>
      <c r="D11" s="58">
        <f t="shared" si="0"/>
        <v>4.7286200523377619E-4</v>
      </c>
      <c r="E11" s="56" t="s">
        <v>417</v>
      </c>
      <c r="F11" s="56" t="s">
        <v>418</v>
      </c>
      <c r="G11" s="56" t="s">
        <v>419</v>
      </c>
    </row>
    <row r="12" spans="1:7" x14ac:dyDescent="0.25">
      <c r="A12" s="53" t="s">
        <v>420</v>
      </c>
      <c r="B12" s="59">
        <f>'Cash Flow'!B60</f>
        <v>1.8108373662135246</v>
      </c>
      <c r="C12" s="60">
        <v>1.792</v>
      </c>
      <c r="D12" s="60">
        <f t="shared" si="0"/>
        <v>1.8837366213524609E-2</v>
      </c>
      <c r="E12" s="56" t="s">
        <v>421</v>
      </c>
      <c r="F12" s="56" t="s">
        <v>422</v>
      </c>
      <c r="G12" s="56" t="s">
        <v>423</v>
      </c>
    </row>
    <row r="13" spans="1:7" x14ac:dyDescent="0.25">
      <c r="A13" s="53" t="s">
        <v>424</v>
      </c>
      <c r="B13" s="61">
        <f>'Cash Flow'!N32</f>
        <v>8108.3736621352436</v>
      </c>
      <c r="C13" s="62">
        <v>7915.17</v>
      </c>
      <c r="D13" s="62">
        <f t="shared" si="0"/>
        <v>193.20366213524358</v>
      </c>
      <c r="E13" s="56" t="s">
        <v>425</v>
      </c>
      <c r="F13" s="56" t="s">
        <v>422</v>
      </c>
      <c r="G13" s="56" t="s">
        <v>426</v>
      </c>
    </row>
    <row r="14" spans="1:7" x14ac:dyDescent="0.25">
      <c r="A14" s="53" t="s">
        <v>427</v>
      </c>
      <c r="B14" s="61">
        <f>Foundation!H31</f>
        <v>33348.42814797724</v>
      </c>
      <c r="C14" s="62">
        <v>33525.160000000003</v>
      </c>
      <c r="D14" s="62">
        <f t="shared" si="0"/>
        <v>-176.73185202276363</v>
      </c>
      <c r="E14" s="56" t="s">
        <v>428</v>
      </c>
      <c r="F14" s="56" t="s">
        <v>429</v>
      </c>
      <c r="G14" s="56" t="s">
        <v>430</v>
      </c>
    </row>
    <row r="15" spans="1:7" x14ac:dyDescent="0.25">
      <c r="A15" s="53" t="s">
        <v>431</v>
      </c>
      <c r="B15" s="61">
        <f>Debt!B57</f>
        <v>30641.632175915402</v>
      </c>
      <c r="C15" s="62">
        <v>30835.21</v>
      </c>
      <c r="D15" s="62">
        <f t="shared" si="0"/>
        <v>-193.57782408459752</v>
      </c>
      <c r="E15" s="56" t="s">
        <v>432</v>
      </c>
      <c r="F15" s="56" t="s">
        <v>429</v>
      </c>
      <c r="G15" s="56" t="s">
        <v>433</v>
      </c>
    </row>
    <row r="16" spans="1:7" x14ac:dyDescent="0.25">
      <c r="A16" s="1"/>
      <c r="B16" s="1"/>
      <c r="C16" s="1"/>
      <c r="D16" s="1"/>
      <c r="E16" s="1"/>
      <c r="F16" s="1"/>
      <c r="G16" s="1"/>
    </row>
    <row r="17" spans="1:7" s="6" customFormat="1" x14ac:dyDescent="0.25">
      <c r="A17" s="8" t="s">
        <v>434</v>
      </c>
      <c r="B17" s="8"/>
      <c r="C17" s="8"/>
      <c r="D17" s="8"/>
      <c r="E17" s="8"/>
      <c r="F17" s="8"/>
      <c r="G17" s="8"/>
    </row>
    <row r="18" spans="1:7" x14ac:dyDescent="0.25">
      <c r="A18" s="69" t="s">
        <v>435</v>
      </c>
      <c r="B18" s="70"/>
      <c r="C18" s="70"/>
      <c r="D18" s="70"/>
      <c r="E18" s="70"/>
      <c r="F18" s="70"/>
      <c r="G18" s="70"/>
    </row>
    <row r="19" spans="1:7" x14ac:dyDescent="0.25">
      <c r="A19" s="69" t="s">
        <v>436</v>
      </c>
      <c r="B19" s="70"/>
      <c r="C19" s="70"/>
      <c r="D19" s="70"/>
      <c r="E19" s="70"/>
      <c r="F19" s="70"/>
      <c r="G19" s="70"/>
    </row>
    <row r="20" spans="1:7" x14ac:dyDescent="0.25">
      <c r="A20" s="69" t="s">
        <v>437</v>
      </c>
      <c r="B20" s="70"/>
      <c r="C20" s="70"/>
      <c r="D20" s="70"/>
      <c r="E20" s="70"/>
      <c r="F20" s="70"/>
      <c r="G20" s="70"/>
    </row>
    <row r="21" spans="1:7" x14ac:dyDescent="0.25">
      <c r="A21" s="69" t="s">
        <v>438</v>
      </c>
      <c r="B21" s="70"/>
      <c r="C21" s="70"/>
      <c r="D21" s="70"/>
      <c r="E21" s="70"/>
      <c r="F21" s="70"/>
      <c r="G21" s="70"/>
    </row>
  </sheetData>
  <mergeCells count="5">
    <mergeCell ref="A6:G6"/>
    <mergeCell ref="A18:G18"/>
    <mergeCell ref="A19:G19"/>
    <mergeCell ref="A20:G20"/>
    <mergeCell ref="A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Inputs</vt:lpstr>
      <vt:lpstr>Lot Schedule</vt:lpstr>
      <vt:lpstr>Revenue</vt:lpstr>
      <vt:lpstr>Development Cost</vt:lpstr>
      <vt:lpstr>Foundation</vt:lpstr>
      <vt:lpstr>Debt</vt:lpstr>
      <vt:lpstr>Cash Flow</vt:lpstr>
      <vt:lpstr>Peak Funding</vt:lpstr>
      <vt:lpstr>Reconciliation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Reece</dc:creator>
  <cp:lastModifiedBy>Jeff Reece</cp:lastModifiedBy>
  <dcterms:created xsi:type="dcterms:W3CDTF">2026-05-22T15:35:17Z</dcterms:created>
  <dcterms:modified xsi:type="dcterms:W3CDTF">2026-05-23T00:49:23Z</dcterms:modified>
</cp:coreProperties>
</file>